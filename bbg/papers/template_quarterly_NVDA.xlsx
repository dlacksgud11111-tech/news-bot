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개인공부\4. 데이터따기\"/>
    </mc:Choice>
  </mc:AlternateContent>
  <bookViews>
    <workbookView xWindow="0" yWindow="0" windowWidth="28800" windowHeight="12405"/>
  </bookViews>
  <sheets>
    <sheet name="그래프" sheetId="18" r:id="rId1"/>
    <sheet name="값복사" sheetId="15" r:id="rId2"/>
    <sheet name="RAW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5" i="7" l="1"/>
  <c r="L13" i="7"/>
  <c r="G36" i="7"/>
  <c r="H10" i="7"/>
  <c r="T17" i="7"/>
  <c r="O17" i="7"/>
  <c r="M17" i="7"/>
  <c r="N36" i="7"/>
  <c r="X35" i="7"/>
  <c r="AI10" i="7"/>
  <c r="AF35" i="7"/>
  <c r="AJ36" i="7"/>
  <c r="L19" i="7"/>
  <c r="AH20" i="7"/>
  <c r="U10" i="7"/>
  <c r="K19" i="7"/>
  <c r="Q36" i="7"/>
  <c r="R17" i="7"/>
  <c r="AC35" i="7"/>
  <c r="Q17" i="7"/>
  <c r="R13" i="7"/>
  <c r="AC15" i="7"/>
  <c r="J13" i="7"/>
  <c r="V20" i="7"/>
  <c r="AJ15" i="7"/>
  <c r="E35" i="7"/>
  <c r="AG10" i="7"/>
  <c r="E20" i="7"/>
  <c r="AD19" i="7"/>
  <c r="W36" i="7"/>
  <c r="AD10" i="7"/>
  <c r="G13" i="7"/>
  <c r="Z36" i="7"/>
  <c r="AH17" i="7"/>
  <c r="G10" i="7"/>
  <c r="F36" i="7"/>
  <c r="I19" i="7"/>
  <c r="E13" i="7"/>
  <c r="Y35" i="7"/>
  <c r="L20" i="7"/>
  <c r="AA17" i="7"/>
  <c r="H15" i="7"/>
  <c r="T13" i="7"/>
  <c r="V35" i="7"/>
  <c r="R15" i="7"/>
  <c r="N35" i="7"/>
  <c r="X10" i="7"/>
  <c r="AI36" i="7"/>
  <c r="AF19" i="7"/>
  <c r="AJ19" i="7"/>
  <c r="M19" i="7"/>
  <c r="AH36" i="7"/>
  <c r="U36" i="7"/>
  <c r="P19" i="7"/>
  <c r="AB20" i="7"/>
  <c r="Q19" i="7"/>
  <c r="AA19" i="7"/>
  <c r="R19" i="7"/>
  <c r="AA15" i="7"/>
  <c r="P20" i="7"/>
  <c r="K15" i="7"/>
  <c r="W15" i="7"/>
  <c r="P35" i="7"/>
  <c r="S35" i="7"/>
  <c r="Z10" i="7"/>
  <c r="Y19" i="7"/>
  <c r="E17" i="7"/>
  <c r="AG35" i="7"/>
  <c r="Y13" i="7"/>
  <c r="M35" i="7"/>
  <c r="AE10" i="7"/>
  <c r="Y20" i="7"/>
  <c r="V10" i="7"/>
  <c r="AG19" i="7"/>
  <c r="Y10" i="7"/>
  <c r="E19" i="7"/>
  <c r="AC19" i="7"/>
  <c r="AA13" i="7"/>
  <c r="H17" i="7"/>
  <c r="T36" i="7"/>
  <c r="O35" i="7"/>
  <c r="R10" i="7"/>
  <c r="N10" i="7"/>
  <c r="X20" i="7"/>
  <c r="AI17" i="7"/>
  <c r="AF10" i="7"/>
  <c r="AJ20" i="7"/>
  <c r="AC17" i="7"/>
  <c r="AH15" i="7"/>
  <c r="U15" i="7"/>
  <c r="O19" i="7"/>
  <c r="S13" i="7"/>
  <c r="N17" i="7"/>
  <c r="X19" i="7"/>
  <c r="S36" i="7"/>
  <c r="V17" i="7"/>
  <c r="K13" i="7"/>
  <c r="S20" i="7"/>
  <c r="F10" i="7"/>
  <c r="I36" i="7"/>
  <c r="J17" i="7"/>
  <c r="O20" i="7"/>
  <c r="AE36" i="7"/>
  <c r="J10" i="7"/>
  <c r="V15" i="7"/>
  <c r="AG14" i="7"/>
  <c r="J35" i="7"/>
  <c r="M15" i="7"/>
  <c r="G19" i="7"/>
  <c r="W20" i="7"/>
  <c r="P17" i="7"/>
  <c r="I15" i="7"/>
  <c r="L17" i="7"/>
  <c r="Z20" i="7"/>
  <c r="AH14" i="7"/>
  <c r="W17" i="7"/>
  <c r="Q20" i="7"/>
  <c r="S17" i="7"/>
  <c r="AA35" i="7"/>
  <c r="H20" i="7"/>
  <c r="T15" i="7"/>
  <c r="O36" i="7"/>
  <c r="R20" i="7"/>
  <c r="N15" i="7"/>
  <c r="X36" i="7"/>
  <c r="AI19" i="7"/>
  <c r="AF20" i="7"/>
  <c r="AJ10" i="7"/>
  <c r="AC36" i="7"/>
  <c r="W19" i="7"/>
  <c r="U20" i="7"/>
  <c r="AB19" i="7"/>
  <c r="AA10" i="7"/>
  <c r="AD14" i="7"/>
  <c r="F4" i="7"/>
  <c r="AA36" i="7"/>
  <c r="P13" i="7"/>
  <c r="E15" i="7"/>
  <c r="U19" i="7"/>
  <c r="Q35" i="7"/>
  <c r="F20" i="7"/>
  <c r="I10" i="7"/>
  <c r="W35" i="7"/>
  <c r="F15" i="7"/>
  <c r="I35" i="7"/>
  <c r="G15" i="7"/>
  <c r="F35" i="7"/>
  <c r="I20" i="7"/>
  <c r="E10" i="7"/>
  <c r="AD36" i="7"/>
  <c r="E36" i="7"/>
  <c r="AD15" i="7"/>
  <c r="I13" i="7"/>
  <c r="L35" i="7"/>
  <c r="J15" i="7"/>
  <c r="Q13" i="7"/>
  <c r="S10" i="7"/>
  <c r="AA20" i="7"/>
  <c r="H35" i="7"/>
  <c r="T35" i="7"/>
  <c r="V13" i="7"/>
  <c r="R36" i="7"/>
  <c r="N20" i="7"/>
  <c r="X17" i="7"/>
  <c r="AI15" i="7"/>
  <c r="AF14" i="7"/>
  <c r="AJ35" i="7"/>
  <c r="AC13" i="7"/>
  <c r="F19" i="7"/>
  <c r="N19" i="7"/>
  <c r="V19" i="7"/>
  <c r="J20" i="7"/>
  <c r="H36" i="7"/>
  <c r="O15" i="7"/>
  <c r="H19" i="7"/>
  <c r="AJ14" i="7"/>
  <c r="K17" i="7"/>
  <c r="J36" i="7"/>
  <c r="AB36" i="7"/>
  <c r="E4" i="7"/>
  <c r="AD35" i="7"/>
  <c r="AJ17" i="7"/>
  <c r="I17" i="7"/>
  <c r="Q15" i="7"/>
  <c r="AB17" i="7"/>
  <c r="R35" i="7"/>
  <c r="AD20" i="7"/>
  <c r="AC10" i="7"/>
  <c r="S15" i="7"/>
  <c r="AB13" i="7"/>
  <c r="Z35" i="7"/>
  <c r="AD17" i="7"/>
  <c r="AC20" i="7"/>
  <c r="K10" i="7"/>
  <c r="Q10" i="7"/>
  <c r="AB35" i="7"/>
  <c r="P36" i="7"/>
  <c r="AE35" i="7"/>
  <c r="K35" i="7"/>
  <c r="J19" i="7"/>
  <c r="AB15" i="7"/>
  <c r="Z15" i="7"/>
  <c r="P15" i="7"/>
  <c r="AE17" i="7"/>
  <c r="K36" i="7"/>
  <c r="L10" i="7"/>
  <c r="AB10" i="7"/>
  <c r="F17" i="7"/>
  <c r="AG20" i="7"/>
  <c r="K20" i="7"/>
  <c r="W10" i="7"/>
  <c r="M20" i="7"/>
  <c r="P10" i="7"/>
  <c r="AE14" i="7"/>
  <c r="G17" i="7"/>
  <c r="V36" i="7"/>
  <c r="AF15" i="7"/>
  <c r="Z19" i="7"/>
  <c r="AG17" i="7"/>
  <c r="AE20" i="7"/>
  <c r="Z17" i="7"/>
  <c r="Z13" i="7"/>
  <c r="N13" i="7"/>
  <c r="L36" i="7"/>
  <c r="AH10" i="7"/>
  <c r="U13" i="7"/>
  <c r="AI20" i="7"/>
  <c r="AI35" i="7"/>
  <c r="T19" i="7"/>
  <c r="AF36" i="7"/>
  <c r="O10" i="7"/>
  <c r="AF17" i="7"/>
  <c r="AG36" i="7"/>
  <c r="M36" i="7"/>
  <c r="M13" i="7"/>
  <c r="Y36" i="7"/>
  <c r="AE19" i="7"/>
  <c r="Y17" i="7"/>
  <c r="AE15" i="7"/>
  <c r="L15" i="7"/>
  <c r="F13" i="7"/>
  <c r="G20" i="7"/>
  <c r="G35" i="7"/>
  <c r="W13" i="7"/>
  <c r="H13" i="7"/>
  <c r="T20" i="7"/>
  <c r="S19" i="7"/>
  <c r="O13" i="7"/>
  <c r="AG15" i="7"/>
  <c r="M10" i="7"/>
  <c r="AH19" i="7"/>
  <c r="AH35" i="7"/>
  <c r="X15" i="7"/>
  <c r="X13" i="7"/>
  <c r="U35" i="7"/>
  <c r="U17" i="7"/>
  <c r="AI14" i="7"/>
  <c r="T10" i="7"/>
  <c r="T29" i="7" l="1"/>
  <c r="U32" i="7"/>
  <c r="X30" i="7"/>
  <c r="X31" i="7"/>
  <c r="M29" i="7"/>
  <c r="AG31" i="7"/>
  <c r="AG25" i="7"/>
  <c r="O30" i="7"/>
  <c r="T33" i="7"/>
  <c r="W30" i="7"/>
  <c r="L31" i="7"/>
  <c r="AE31" i="7"/>
  <c r="AE25" i="7"/>
  <c r="Y32" i="7"/>
  <c r="M30" i="7"/>
  <c r="AF26" i="7"/>
  <c r="AF32" i="7"/>
  <c r="O29" i="7"/>
  <c r="AI33" i="7"/>
  <c r="AI27" i="7"/>
  <c r="U30" i="7"/>
  <c r="AH29" i="7"/>
  <c r="AH23" i="7"/>
  <c r="N30" i="7"/>
  <c r="Z30" i="7"/>
  <c r="Z32" i="7"/>
  <c r="AE27" i="7"/>
  <c r="AE33" i="7"/>
  <c r="AG32" i="7"/>
  <c r="AG26" i="7"/>
  <c r="AF25" i="7"/>
  <c r="AF31" i="7"/>
  <c r="P29" i="7"/>
  <c r="M33" i="7"/>
  <c r="W29" i="7"/>
  <c r="K33" i="7"/>
  <c r="AG33" i="7"/>
  <c r="AG27" i="7"/>
  <c r="AB29" i="7"/>
  <c r="L29" i="7"/>
  <c r="AE26" i="7"/>
  <c r="AE32" i="7"/>
  <c r="P31" i="7"/>
  <c r="Z31" i="7"/>
  <c r="AB31" i="7"/>
  <c r="Q29" i="7"/>
  <c r="K29" i="7"/>
  <c r="AC27" i="7"/>
  <c r="AC33" i="7"/>
  <c r="AD32" i="7"/>
  <c r="AD26" i="7"/>
  <c r="AB30" i="7"/>
  <c r="S31" i="7"/>
  <c r="AC23" i="7"/>
  <c r="AC29" i="7"/>
  <c r="AD27" i="7"/>
  <c r="AD33" i="7"/>
  <c r="AB32" i="7"/>
  <c r="Q31" i="7"/>
  <c r="I32" i="7"/>
  <c r="AJ32" i="7"/>
  <c r="AJ26" i="7"/>
  <c r="K32" i="7"/>
  <c r="O31" i="7"/>
  <c r="J33" i="7"/>
  <c r="AC30" i="7"/>
  <c r="AC24" i="7"/>
  <c r="AI25" i="7"/>
  <c r="AI31" i="7"/>
  <c r="X32" i="7"/>
  <c r="N33" i="7"/>
  <c r="V30" i="7"/>
  <c r="AA33" i="7"/>
  <c r="S29" i="7"/>
  <c r="Q30" i="7"/>
  <c r="J31" i="7"/>
  <c r="I30" i="7"/>
  <c r="AD25" i="7"/>
  <c r="AD31" i="7"/>
  <c r="I33" i="7"/>
  <c r="I29" i="7"/>
  <c r="P30" i="7"/>
  <c r="AA29" i="7"/>
  <c r="U33" i="7"/>
  <c r="AJ23" i="7"/>
  <c r="AJ29" i="7"/>
  <c r="AF33" i="7"/>
  <c r="AF27" i="7"/>
  <c r="N31" i="7"/>
  <c r="R33" i="7"/>
  <c r="T31" i="7"/>
  <c r="S32" i="7"/>
  <c r="Q33" i="7"/>
  <c r="W32" i="7"/>
  <c r="Z33" i="7"/>
  <c r="L32" i="7"/>
  <c r="I31" i="7"/>
  <c r="P32" i="7"/>
  <c r="W33" i="7"/>
  <c r="M31" i="7"/>
  <c r="V31" i="7"/>
  <c r="J29" i="7"/>
  <c r="O33" i="7"/>
  <c r="J32" i="7"/>
  <c r="S33" i="7"/>
  <c r="K30" i="7"/>
  <c r="V32" i="7"/>
  <c r="N32" i="7"/>
  <c r="S30" i="7"/>
  <c r="U31" i="7"/>
  <c r="AH25" i="7"/>
  <c r="AH31" i="7"/>
  <c r="AC26" i="7"/>
  <c r="AC32" i="7"/>
  <c r="AJ27" i="7"/>
  <c r="AJ33" i="7"/>
  <c r="AF29" i="7"/>
  <c r="AF23" i="7"/>
  <c r="AI32" i="7"/>
  <c r="AI26" i="7"/>
  <c r="X33" i="7"/>
  <c r="N29" i="7"/>
  <c r="R29" i="7"/>
  <c r="AA30" i="7"/>
  <c r="Y29" i="7"/>
  <c r="V29" i="7"/>
  <c r="Y33" i="7"/>
  <c r="AE23" i="7"/>
  <c r="AE29" i="7"/>
  <c r="Y30" i="7"/>
  <c r="Z29" i="7"/>
  <c r="W31" i="7"/>
  <c r="K31" i="7"/>
  <c r="P33" i="7"/>
  <c r="AA31" i="7"/>
  <c r="AB33" i="7"/>
  <c r="X29" i="7"/>
  <c r="R31" i="7"/>
  <c r="T30" i="7"/>
  <c r="AA32" i="7"/>
  <c r="L33" i="7"/>
  <c r="AH32" i="7"/>
  <c r="AH26" i="7"/>
  <c r="AD23" i="7"/>
  <c r="AD29" i="7"/>
  <c r="AG29" i="7"/>
  <c r="AG23" i="7"/>
  <c r="AJ31" i="7"/>
  <c r="AJ25" i="7"/>
  <c r="V33" i="7"/>
  <c r="J30" i="7"/>
  <c r="AC25" i="7"/>
  <c r="AC31" i="7"/>
  <c r="R30" i="7"/>
  <c r="Q32" i="7"/>
  <c r="R32" i="7"/>
  <c r="U29" i="7"/>
  <c r="AH27" i="7"/>
  <c r="AH33" i="7"/>
  <c r="AI23" i="7"/>
  <c r="AI29" i="7"/>
  <c r="M32" i="7"/>
  <c r="O32" i="7"/>
  <c r="T32" i="7"/>
  <c r="L30" i="7"/>
  <c r="Y31" i="7"/>
  <c r="U11" i="7"/>
  <c r="U12" i="7" s="1"/>
  <c r="U23" i="7"/>
  <c r="L16" i="7"/>
  <c r="L25" i="7"/>
  <c r="E11" i="7"/>
  <c r="E12" i="7" s="1"/>
  <c r="L23" i="7"/>
  <c r="L11" i="7"/>
  <c r="L12" i="7" s="1"/>
  <c r="H23" i="7"/>
  <c r="H11" i="7"/>
  <c r="H12" i="7" s="1"/>
  <c r="O14" i="7"/>
  <c r="O24" i="7"/>
  <c r="G14" i="7"/>
  <c r="G24" i="7"/>
  <c r="I24" i="7"/>
  <c r="I14" i="7"/>
  <c r="H16" i="7"/>
  <c r="H25" i="7"/>
  <c r="Z14" i="7"/>
  <c r="Z24" i="7"/>
  <c r="J25" i="7"/>
  <c r="J16" i="7"/>
  <c r="G18" i="7"/>
  <c r="G26" i="7"/>
  <c r="R16" i="7"/>
  <c r="R25" i="7"/>
  <c r="W26" i="7"/>
  <c r="W18" i="7"/>
  <c r="F26" i="7"/>
  <c r="F18" i="7"/>
  <c r="M26" i="7"/>
  <c r="M18" i="7"/>
  <c r="Z27" i="7"/>
  <c r="Z21" i="7"/>
  <c r="U27" i="7"/>
  <c r="U21" i="7"/>
  <c r="AA14" i="7"/>
  <c r="AA24" i="7"/>
  <c r="Y18" i="7"/>
  <c r="Y26" i="7"/>
  <c r="Y23" i="7"/>
  <c r="Y11" i="7"/>
  <c r="Y12" i="7" s="1"/>
  <c r="O23" i="7"/>
  <c r="O11" i="7"/>
  <c r="O12" i="7" s="1"/>
  <c r="Z23" i="7"/>
  <c r="Z11" i="7"/>
  <c r="Z12" i="7" s="1"/>
  <c r="R24" i="7"/>
  <c r="R14" i="7"/>
  <c r="T24" i="7"/>
  <c r="T14" i="7"/>
  <c r="AA16" i="7"/>
  <c r="AA25" i="7"/>
  <c r="AB24" i="7"/>
  <c r="AB14" i="7"/>
  <c r="Q16" i="7"/>
  <c r="Q25" i="7"/>
  <c r="AB25" i="7"/>
  <c r="AB16" i="7"/>
  <c r="K18" i="7"/>
  <c r="K26" i="7"/>
  <c r="G16" i="7"/>
  <c r="G25" i="7"/>
  <c r="H26" i="7"/>
  <c r="H18" i="7"/>
  <c r="AB27" i="7"/>
  <c r="AB21" i="7"/>
  <c r="R21" i="7"/>
  <c r="R27" i="7"/>
  <c r="G27" i="7"/>
  <c r="G21" i="7"/>
  <c r="M21" i="7"/>
  <c r="M27" i="7"/>
  <c r="F11" i="7"/>
  <c r="F12" i="7" s="1"/>
  <c r="F23" i="7"/>
  <c r="O16" i="7"/>
  <c r="O25" i="7"/>
  <c r="S11" i="7"/>
  <c r="S12" i="7" s="1"/>
  <c r="S23" i="7"/>
  <c r="X11" i="7"/>
  <c r="X12" i="7" s="1"/>
  <c r="X23" i="7"/>
  <c r="R11" i="7"/>
  <c r="R12" i="7" s="1"/>
  <c r="R23" i="7"/>
  <c r="E14" i="7"/>
  <c r="V25" i="7"/>
  <c r="V16" i="7"/>
  <c r="H14" i="7"/>
  <c r="H24" i="7"/>
  <c r="N24" i="7"/>
  <c r="N14" i="7"/>
  <c r="E16" i="7"/>
  <c r="Z26" i="7"/>
  <c r="Z18" i="7"/>
  <c r="X25" i="7"/>
  <c r="X16" i="7"/>
  <c r="F16" i="7"/>
  <c r="F25" i="7"/>
  <c r="L18" i="7"/>
  <c r="L26" i="7"/>
  <c r="X21" i="7"/>
  <c r="X27" i="7"/>
  <c r="V18" i="7"/>
  <c r="V26" i="7"/>
  <c r="Q21" i="7"/>
  <c r="Q27" i="7"/>
  <c r="N11" i="7"/>
  <c r="N12" i="7" s="1"/>
  <c r="N23" i="7"/>
  <c r="P24" i="7"/>
  <c r="P14" i="7"/>
  <c r="I18" i="7"/>
  <c r="I26" i="7"/>
  <c r="M11" i="7"/>
  <c r="M12" i="7" s="1"/>
  <c r="M23" i="7"/>
  <c r="V11" i="7"/>
  <c r="V12" i="7" s="1"/>
  <c r="V23" i="7"/>
  <c r="AB23" i="7"/>
  <c r="AB11" i="7"/>
  <c r="AB12" i="7" s="1"/>
  <c r="U14" i="7"/>
  <c r="U24" i="7"/>
  <c r="K16" i="7"/>
  <c r="K25" i="7"/>
  <c r="K14" i="7"/>
  <c r="K24" i="7"/>
  <c r="N16" i="7"/>
  <c r="N25" i="7"/>
  <c r="O26" i="7"/>
  <c r="O18" i="7"/>
  <c r="U16" i="7"/>
  <c r="U25" i="7"/>
  <c r="S16" i="7"/>
  <c r="S25" i="7"/>
  <c r="H27" i="7"/>
  <c r="H21" i="7"/>
  <c r="J18" i="7"/>
  <c r="J26" i="7"/>
  <c r="T21" i="7"/>
  <c r="T27" i="7"/>
  <c r="E21" i="7"/>
  <c r="K27" i="7"/>
  <c r="K21" i="7"/>
  <c r="Q11" i="7"/>
  <c r="Q12" i="7" s="1"/>
  <c r="Q23" i="7"/>
  <c r="AA18" i="7"/>
  <c r="AA26" i="7"/>
  <c r="AA23" i="7"/>
  <c r="AA11" i="7"/>
  <c r="AA12" i="7" s="1"/>
  <c r="G23" i="7"/>
  <c r="G11" i="7"/>
  <c r="G12" i="7" s="1"/>
  <c r="W23" i="7"/>
  <c r="W11" i="7"/>
  <c r="W12" i="7" s="1"/>
  <c r="X14" i="7"/>
  <c r="X24" i="7"/>
  <c r="V14" i="7"/>
  <c r="V24" i="7"/>
  <c r="Q24" i="7"/>
  <c r="Q14" i="7"/>
  <c r="J14" i="7"/>
  <c r="J24" i="7"/>
  <c r="R26" i="7"/>
  <c r="R18" i="7"/>
  <c r="Y16" i="7"/>
  <c r="Y25" i="7"/>
  <c r="S26" i="7"/>
  <c r="S18" i="7"/>
  <c r="N26" i="7"/>
  <c r="N18" i="7"/>
  <c r="L27" i="7"/>
  <c r="L21" i="7"/>
  <c r="V27" i="7"/>
  <c r="V21" i="7"/>
  <c r="F27" i="7"/>
  <c r="F21" i="7"/>
  <c r="Z16" i="7"/>
  <c r="Z25" i="7"/>
  <c r="N21" i="7"/>
  <c r="N27" i="7"/>
  <c r="I23" i="7"/>
  <c r="I11" i="7"/>
  <c r="I12" i="7" s="1"/>
  <c r="P11" i="7"/>
  <c r="P12" i="7" s="1"/>
  <c r="P23" i="7"/>
  <c r="T25" i="7"/>
  <c r="T16" i="7"/>
  <c r="Y14" i="7"/>
  <c r="Y24" i="7"/>
  <c r="P16" i="7"/>
  <c r="P25" i="7"/>
  <c r="M24" i="7"/>
  <c r="M14" i="7"/>
  <c r="M25" i="7"/>
  <c r="M16" i="7"/>
  <c r="P26" i="7"/>
  <c r="P18" i="7"/>
  <c r="U18" i="7"/>
  <c r="U26" i="7"/>
  <c r="E18" i="7"/>
  <c r="S21" i="7"/>
  <c r="S27" i="7"/>
  <c r="T26" i="7"/>
  <c r="T18" i="7"/>
  <c r="Q18" i="7"/>
  <c r="Q26" i="7"/>
  <c r="L14" i="7"/>
  <c r="L24" i="7"/>
  <c r="O21" i="7"/>
  <c r="O27" i="7"/>
  <c r="J21" i="7"/>
  <c r="J27" i="7"/>
  <c r="J23" i="7"/>
  <c r="J11" i="7"/>
  <c r="J12" i="7" s="1"/>
  <c r="K11" i="7"/>
  <c r="K12" i="7" s="1"/>
  <c r="K23" i="7"/>
  <c r="T23" i="7"/>
  <c r="T11" i="7"/>
  <c r="T12" i="7" s="1"/>
  <c r="S24" i="7"/>
  <c r="S14" i="7"/>
  <c r="W14" i="7"/>
  <c r="W24" i="7"/>
  <c r="F14" i="7"/>
  <c r="F24" i="7"/>
  <c r="W16" i="7"/>
  <c r="W25" i="7"/>
  <c r="I25" i="7"/>
  <c r="I16" i="7"/>
  <c r="X18" i="7"/>
  <c r="X26" i="7"/>
  <c r="P21" i="7"/>
  <c r="P27" i="7"/>
  <c r="AB26" i="7"/>
  <c r="AB18" i="7"/>
  <c r="AA27" i="7"/>
  <c r="AA21" i="7"/>
  <c r="Y27" i="7"/>
  <c r="Y21" i="7"/>
  <c r="I27" i="7"/>
  <c r="I21" i="7"/>
  <c r="W27" i="7"/>
  <c r="W21" i="7"/>
  <c r="AE13" i="7"/>
  <c r="AD13" i="7"/>
  <c r="AF13" i="7"/>
  <c r="AG13" i="7"/>
  <c r="AH13" i="7"/>
  <c r="AI13" i="7"/>
  <c r="AJ18" i="7"/>
  <c r="AI18" i="7"/>
  <c r="AI21" i="7"/>
  <c r="AI16" i="7"/>
  <c r="AJ13" i="7"/>
  <c r="AJ21" i="7"/>
  <c r="AJ16" i="7"/>
  <c r="AH21" i="7"/>
  <c r="AH16" i="7"/>
  <c r="AH18" i="7"/>
  <c r="AG18" i="7"/>
  <c r="AG21" i="7"/>
  <c r="AG16" i="7"/>
  <c r="AH30" i="7" l="1"/>
  <c r="AH24" i="7"/>
  <c r="AG11" i="7"/>
  <c r="AG12" i="7" s="1"/>
  <c r="AG30" i="7"/>
  <c r="AG24" i="7"/>
  <c r="AF30" i="7"/>
  <c r="AF24" i="7"/>
  <c r="AD24" i="7"/>
  <c r="AD30" i="7"/>
  <c r="AJ30" i="7"/>
  <c r="AJ24" i="7"/>
  <c r="AI11" i="7"/>
  <c r="AI12" i="7" s="1"/>
  <c r="AI30" i="7"/>
  <c r="AI24" i="7"/>
  <c r="AE30" i="7"/>
  <c r="AE24" i="7"/>
  <c r="AJ11" i="7"/>
  <c r="AJ12" i="7" s="1"/>
  <c r="AH11" i="7"/>
  <c r="AH12" i="7" s="1"/>
  <c r="AC11" i="7" l="1"/>
  <c r="AC12" i="7" s="1"/>
  <c r="AC14" i="7"/>
  <c r="AC16" i="7"/>
  <c r="AC18" i="7"/>
  <c r="AC21" i="7"/>
  <c r="AD21" i="7" l="1"/>
  <c r="AD18" i="7"/>
  <c r="AD16" i="7"/>
  <c r="AE21" i="7"/>
  <c r="AE18" i="7"/>
  <c r="AE16" i="7"/>
  <c r="AF21" i="7"/>
  <c r="AF18" i="7"/>
  <c r="AF16" i="7"/>
  <c r="AF11" i="7" l="1"/>
  <c r="AF12" i="7" s="1"/>
  <c r="AD11" i="7"/>
  <c r="AD12" i="7" s="1"/>
  <c r="AE11" i="7"/>
  <c r="AE12" i="7" s="1"/>
</calcChain>
</file>

<file path=xl/sharedStrings.xml><?xml version="1.0" encoding="utf-8"?>
<sst xmlns="http://schemas.openxmlformats.org/spreadsheetml/2006/main" count="432" uniqueCount="178">
  <si>
    <t>(십억원, %)</t>
  </si>
  <si>
    <t>매출액</t>
  </si>
  <si>
    <t>OPM(%)</t>
    <phoneticPr fontId="2" type="noConversion"/>
  </si>
  <si>
    <t>순이익</t>
    <phoneticPr fontId="2" type="noConversion"/>
  </si>
  <si>
    <t>순이익률(%)</t>
    <phoneticPr fontId="2" type="noConversion"/>
  </si>
  <si>
    <t>SALES_REV_TURN</t>
  </si>
  <si>
    <t>IS_OPER_INC</t>
  </si>
  <si>
    <t>NET_INCOME</t>
  </si>
  <si>
    <t>BEST_SALES</t>
    <phoneticPr fontId="2" type="noConversion"/>
  </si>
  <si>
    <t>BEST_OPP</t>
    <phoneticPr fontId="2" type="noConversion"/>
  </si>
  <si>
    <t>EQY FUND YEAR</t>
    <phoneticPr fontId="2" type="noConversion"/>
  </si>
  <si>
    <t>BEST_NET_INCOME</t>
    <phoneticPr fontId="2" type="noConversion"/>
  </si>
  <si>
    <t>(yoy)</t>
    <phoneticPr fontId="2" type="noConversion"/>
  </si>
  <si>
    <t>매출액</t>
    <phoneticPr fontId="2" type="noConversion"/>
  </si>
  <si>
    <t>영업이익</t>
    <phoneticPr fontId="2" type="noConversion"/>
  </si>
  <si>
    <t>GROSS_PROFIT</t>
    <phoneticPr fontId="2" type="noConversion"/>
  </si>
  <si>
    <t>BEST_GROSS_MARGIN</t>
    <phoneticPr fontId="2" type="noConversion"/>
  </si>
  <si>
    <t>매출총이익률</t>
    <phoneticPr fontId="2" type="noConversion"/>
  </si>
  <si>
    <t>매출총이익</t>
    <phoneticPr fontId="2" type="noConversion"/>
  </si>
  <si>
    <t>매출원가</t>
    <phoneticPr fontId="2" type="noConversion"/>
  </si>
  <si>
    <t>매출원가율</t>
    <phoneticPr fontId="2" type="noConversion"/>
  </si>
  <si>
    <t>EBITDA</t>
    <phoneticPr fontId="2" type="noConversion"/>
  </si>
  <si>
    <t>EBITDA Margin</t>
    <phoneticPr fontId="2" type="noConversion"/>
  </si>
  <si>
    <t>BEST_EBITDA</t>
    <phoneticPr fontId="2" type="noConversion"/>
  </si>
  <si>
    <t>밸류</t>
    <phoneticPr fontId="2" type="noConversion"/>
  </si>
  <si>
    <t>BEST_EPS</t>
    <phoneticPr fontId="2" type="noConversion"/>
  </si>
  <si>
    <t>BEST_BPS</t>
    <phoneticPr fontId="2" type="noConversion"/>
  </si>
  <si>
    <t>EPS</t>
    <phoneticPr fontId="2" type="noConversion"/>
  </si>
  <si>
    <t>BPS</t>
    <phoneticPr fontId="2" type="noConversion"/>
  </si>
  <si>
    <t>IS_DIL_EPS_CONT_OPS</t>
  </si>
  <si>
    <t>현재주가</t>
    <phoneticPr fontId="2" type="noConversion"/>
  </si>
  <si>
    <t>PX_LAST</t>
    <phoneticPr fontId="2" type="noConversion"/>
  </si>
  <si>
    <t>기업티커</t>
    <phoneticPr fontId="2" type="noConversion"/>
  </si>
  <si>
    <t>RETURN_COM_EQY</t>
  </si>
  <si>
    <t>BEST_ROE</t>
  </si>
  <si>
    <t>ROE</t>
    <phoneticPr fontId="2" type="noConversion"/>
  </si>
  <si>
    <t>통화</t>
    <phoneticPr fontId="2" type="noConversion"/>
  </si>
  <si>
    <t>BOOK_VAL_PER_SH</t>
    <phoneticPr fontId="2" type="noConversion"/>
  </si>
  <si>
    <t xml:space="preserve">* 실적 관련 데이터 </t>
    <phoneticPr fontId="2" type="noConversion"/>
  </si>
  <si>
    <t>* 매출액</t>
    <phoneticPr fontId="2" type="noConversion"/>
  </si>
  <si>
    <t>* 영업이익</t>
    <phoneticPr fontId="2" type="noConversion"/>
  </si>
  <si>
    <t>1Q26</t>
  </si>
  <si>
    <t>1Q26</t>
    <phoneticPr fontId="2" type="noConversion"/>
  </si>
  <si>
    <t>4Q25</t>
  </si>
  <si>
    <t>4Q25</t>
    <phoneticPr fontId="2" type="noConversion"/>
  </si>
  <si>
    <t>3Q25</t>
  </si>
  <si>
    <t>3Q25</t>
    <phoneticPr fontId="2" type="noConversion"/>
  </si>
  <si>
    <t>4Q22</t>
    <phoneticPr fontId="2" type="noConversion"/>
  </si>
  <si>
    <t>1Q23</t>
    <phoneticPr fontId="2" type="noConversion"/>
  </si>
  <si>
    <t>2Q23</t>
    <phoneticPr fontId="2" type="noConversion"/>
  </si>
  <si>
    <t>3Q23</t>
    <phoneticPr fontId="2" type="noConversion"/>
  </si>
  <si>
    <t>4Q23</t>
    <phoneticPr fontId="2" type="noConversion"/>
  </si>
  <si>
    <t>1Q24</t>
    <phoneticPr fontId="2" type="noConversion"/>
  </si>
  <si>
    <t>2Q24</t>
    <phoneticPr fontId="2" type="noConversion"/>
  </si>
  <si>
    <t>3Q24</t>
    <phoneticPr fontId="2" type="noConversion"/>
  </si>
  <si>
    <t>4Q24</t>
    <phoneticPr fontId="2" type="noConversion"/>
  </si>
  <si>
    <t>1Q25</t>
    <phoneticPr fontId="2" type="noConversion"/>
  </si>
  <si>
    <t>2Q25</t>
    <phoneticPr fontId="2" type="noConversion"/>
  </si>
  <si>
    <t>3Q20</t>
    <phoneticPr fontId="2" type="noConversion"/>
  </si>
  <si>
    <t>4Q20</t>
    <phoneticPr fontId="2" type="noConversion"/>
  </si>
  <si>
    <t>1Q21</t>
    <phoneticPr fontId="2" type="noConversion"/>
  </si>
  <si>
    <t>2Q21</t>
    <phoneticPr fontId="2" type="noConversion"/>
  </si>
  <si>
    <t>3Q21</t>
    <phoneticPr fontId="2" type="noConversion"/>
  </si>
  <si>
    <t>4Q21</t>
    <phoneticPr fontId="2" type="noConversion"/>
  </si>
  <si>
    <t>1Q22</t>
    <phoneticPr fontId="2" type="noConversion"/>
  </si>
  <si>
    <t>2Q22</t>
    <phoneticPr fontId="2" type="noConversion"/>
  </si>
  <si>
    <t>3Q22</t>
    <phoneticPr fontId="2" type="noConversion"/>
  </si>
  <si>
    <t>2Q20</t>
    <phoneticPr fontId="2" type="noConversion"/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</si>
  <si>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</si>
  <si>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</si>
  <si>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</si>
  <si>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</si>
  <si>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</si>
  <si>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</si>
  <si>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</si>
  <si>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</si>
  <si>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</si>
  <si>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</si>
  <si>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</si>
  <si>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</si>
  <si>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</si>
  <si>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</si>
  <si>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</si>
  <si>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</si>
  <si>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</si>
  <si>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</si>
  <si>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</si>
  <si>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</si>
  <si>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</si>
  <si>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</si>
  <si>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2Q26E</t>
    <phoneticPr fontId="2" type="noConversion"/>
  </si>
  <si>
    <t>3Q26E</t>
    <phoneticPr fontId="2" type="noConversion"/>
  </si>
  <si>
    <t>4Q26E</t>
    <phoneticPr fontId="2" type="noConversion"/>
  </si>
  <si>
    <t>BEST_FPERIOD_OVERRIDE=1FQ</t>
    <phoneticPr fontId="2" type="noConversion"/>
  </si>
  <si>
    <t>BEST_FPERIOD_OVERRIDE=2FQ</t>
    <phoneticPr fontId="2" type="noConversion"/>
  </si>
  <si>
    <t>BEST_FPERIOD_OVERRIDE=3FQ</t>
  </si>
  <si>
    <t>BEST_FPERIOD_OVERRIDE=4FQ</t>
  </si>
  <si>
    <t>BEST_FPERIOD_OVERRIDE=5FQ</t>
  </si>
  <si>
    <t>BEST_FPERIOD_OVERRIDE=6FQ</t>
  </si>
  <si>
    <t>BEST_FPERIOD_OVERRIDE=7FQ</t>
  </si>
  <si>
    <t>3Q27E</t>
  </si>
  <si>
    <t>3Q28E</t>
  </si>
  <si>
    <t>4Q27E</t>
  </si>
  <si>
    <t>4Q28E</t>
  </si>
  <si>
    <t>FQ1 2026</t>
    <phoneticPr fontId="2" type="noConversion"/>
  </si>
  <si>
    <t>FQ4 2025</t>
    <phoneticPr fontId="2" type="noConversion"/>
  </si>
  <si>
    <t>FQ3 2025</t>
    <phoneticPr fontId="2" type="noConversion"/>
  </si>
  <si>
    <t>FQ3 2020</t>
  </si>
  <si>
    <t>FQ4 2020</t>
  </si>
  <si>
    <t>FQ3 2021</t>
  </si>
  <si>
    <t>FQ4 2021</t>
  </si>
  <si>
    <t>FQ3 2022</t>
  </si>
  <si>
    <t>FQ4 2022</t>
  </si>
  <si>
    <t>FQ3 2023</t>
  </si>
  <si>
    <t>FQ4 2023</t>
  </si>
  <si>
    <t>FQ3 2024</t>
  </si>
  <si>
    <t>FQ4 2024</t>
  </si>
  <si>
    <t>FQ2 2025</t>
    <phoneticPr fontId="2" type="noConversion"/>
  </si>
  <si>
    <t>FQ1 2020</t>
  </si>
  <si>
    <t>FQ2 2020</t>
  </si>
  <si>
    <t>FQ1 2021</t>
  </si>
  <si>
    <t>FQ2 2021</t>
  </si>
  <si>
    <t>FQ1 2022</t>
  </si>
  <si>
    <t>FQ2 2022</t>
  </si>
  <si>
    <t>FQ1 2023</t>
  </si>
  <si>
    <t>FQ2 2023</t>
  </si>
  <si>
    <t>FQ1 2024</t>
  </si>
  <si>
    <t>FQ2 2024</t>
  </si>
  <si>
    <t>FQ1 2025</t>
  </si>
  <si>
    <t>EQY_FUND_CRNCY=USD</t>
    <phoneticPr fontId="2" type="noConversion"/>
  </si>
  <si>
    <t>NAME</t>
    <phoneticPr fontId="2" type="noConversion"/>
  </si>
  <si>
    <t>기업 이름</t>
    <phoneticPr fontId="2" type="noConversion"/>
  </si>
  <si>
    <t>NVDA US Equity</t>
  </si>
  <si>
    <t>NVDA US Equity</t>
    <phoneticPr fontId="2" type="noConversion"/>
  </si>
  <si>
    <t>(qoq)</t>
  </si>
  <si>
    <t>(qoq)</t>
    <phoneticPr fontId="2" type="noConversion"/>
  </si>
  <si>
    <t>(yoy)</t>
  </si>
  <si>
    <t>기업티커</t>
  </si>
  <si>
    <t>기업 이름</t>
  </si>
  <si>
    <t>현재주가</t>
  </si>
  <si>
    <t>통화</t>
  </si>
  <si>
    <t>PX_LAST</t>
  </si>
  <si>
    <t>NAME</t>
  </si>
  <si>
    <t>NVIDIA CORP</t>
  </si>
  <si>
    <t>EQY_FUND_CRNCY=USD</t>
  </si>
  <si>
    <t>FQ2 2025</t>
  </si>
  <si>
    <t>FQ3 2025</t>
  </si>
  <si>
    <t>FQ4 2025</t>
  </si>
  <si>
    <t>FQ1 2026</t>
  </si>
  <si>
    <t>BEST_FPERIOD_OVERRIDE=1FQ</t>
  </si>
  <si>
    <t>BEST_FPERIOD_OVERRIDE=2FQ</t>
  </si>
  <si>
    <t>EQY FUND YEAR</t>
  </si>
  <si>
    <t>2Q26E</t>
  </si>
  <si>
    <t>3Q26E</t>
  </si>
  <si>
    <t>4Q26E</t>
  </si>
  <si>
    <t>BEST_SALES</t>
  </si>
  <si>
    <t>매출원가</t>
  </si>
  <si>
    <t>매출원가율</t>
  </si>
  <si>
    <t>GROSS_PROFIT</t>
  </si>
  <si>
    <t>매출총이익</t>
  </si>
  <si>
    <t>BEST_GROSS_MARGIN</t>
  </si>
  <si>
    <t>매출총이익률</t>
  </si>
  <si>
    <t>BEST_OPP</t>
  </si>
  <si>
    <t>영업이익</t>
  </si>
  <si>
    <t>OPM(%)</t>
  </si>
  <si>
    <t>EBITDA</t>
  </si>
  <si>
    <t>BEST_EBITDA</t>
  </si>
  <si>
    <t>EBITDA Margin</t>
  </si>
  <si>
    <t>ROE</t>
  </si>
  <si>
    <t>BEST_NET_INCOME</t>
  </si>
  <si>
    <t>순이익</t>
  </si>
  <si>
    <t>순이익률(%)</t>
  </si>
  <si>
    <t>밸류</t>
  </si>
  <si>
    <t>BEST_EPS</t>
  </si>
  <si>
    <t>EPS</t>
  </si>
  <si>
    <t>BOOK_VAL_PER_SH</t>
  </si>
  <si>
    <t>BEST_BPS</t>
  </si>
  <si>
    <t>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</si>
</sst>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"/>
    <numFmt numFmtId="177" formatCode="#,##0_ "/>
    <numFmt numFmtId="178" formatCode="#,##0.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나눔스퀘어_ac"/>
      <family val="2"/>
      <charset val="129"/>
    </font>
    <font>
      <b/>
      <sz val="10"/>
      <color indexed="9"/>
      <name val="Arial"/>
      <family val="2"/>
    </font>
    <font>
      <b/>
      <sz val="11"/>
      <color theme="1"/>
      <name val="나눔스퀘어_ac"/>
      <family val="3"/>
      <charset val="129"/>
    </font>
    <font>
      <sz val="11"/>
      <color theme="1"/>
      <name val="나눔스퀘어_ac"/>
      <family val="3"/>
      <charset val="129"/>
    </font>
    <font>
      <sz val="10"/>
      <name val="나눔스퀘어_ac"/>
      <family val="3"/>
      <charset val="129"/>
    </font>
    <font>
      <b/>
      <sz val="10"/>
      <name val="나눔스퀘어_a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1EBFF"/>
        <bgColor indexed="64"/>
      </patternFill>
    </fill>
    <fill>
      <patternFill patternType="solid">
        <fgColor rgb="FF4F81BD"/>
        <bgColor indexed="64"/>
      </patternFill>
    </fill>
  </fills>
  <borders count="21">
    <border>
      <left/>
      <right/>
      <top/>
      <bottom/>
      <diagonal/>
    </border>
    <border>
      <left/>
      <right style="medium">
        <color rgb="FFA6A6A6"/>
      </right>
      <top style="thick">
        <color rgb="FFA6A6A6"/>
      </top>
      <bottom style="medium">
        <color rgb="FFA6A6A6"/>
      </bottom>
      <diagonal/>
    </border>
    <border>
      <left/>
      <right/>
      <top style="thick">
        <color rgb="FFA6A6A6"/>
      </top>
      <bottom/>
      <diagonal/>
    </border>
    <border>
      <left/>
      <right/>
      <top style="thick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/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rgb="FFA6A6A6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A6A6A6"/>
      </top>
      <bottom style="thick">
        <color rgb="FFA6A6A6"/>
      </bottom>
      <diagonal/>
    </border>
    <border>
      <left/>
      <right style="medium">
        <color rgb="FFA6A6A6"/>
      </right>
      <top style="thick">
        <color rgb="FFA6A6A6"/>
      </top>
      <bottom style="thick">
        <color rgb="FFA6A6A6"/>
      </bottom>
      <diagonal/>
    </border>
    <border>
      <left style="medium">
        <color rgb="FFA6A6A6"/>
      </left>
      <right/>
      <top style="thick">
        <color rgb="FFA6A6A6"/>
      </top>
      <bottom/>
      <diagonal/>
    </border>
    <border>
      <left/>
      <right style="medium">
        <color rgb="FFA6A6A6"/>
      </right>
      <top style="thick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 style="thick">
        <color rgb="FFA6A6A6"/>
      </bottom>
      <diagonal/>
    </border>
    <border>
      <left style="medium">
        <color rgb="FFA6A6A6"/>
      </left>
      <right/>
      <top/>
      <bottom style="thick">
        <color rgb="FFA6A6A6"/>
      </bottom>
      <diagonal/>
    </border>
    <border>
      <left/>
      <right/>
      <top/>
      <bottom style="thick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4" borderId="11">
      <alignment horizontal="right"/>
    </xf>
  </cellStyleXfs>
  <cellXfs count="6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8" fillId="0" borderId="0" xfId="2" applyFont="1" applyFill="1" applyBorder="1" applyAlignment="1">
      <alignment horizontal="justify" vertical="center"/>
    </xf>
    <xf numFmtId="0" fontId="8" fillId="0" borderId="0" xfId="0" applyFont="1">
      <alignment vertical="center"/>
    </xf>
    <xf numFmtId="0" fontId="8" fillId="0" borderId="0" xfId="2" quotePrefix="1" applyFont="1" applyBorder="1" applyAlignment="1">
      <alignment horizontal="justify" vertical="center"/>
    </xf>
    <xf numFmtId="0" fontId="7" fillId="0" borderId="0" xfId="2" applyFont="1">
      <alignment vertical="center"/>
    </xf>
    <xf numFmtId="0" fontId="7" fillId="0" borderId="0" xfId="2" applyFont="1" applyBorder="1">
      <alignment vertical="center"/>
    </xf>
    <xf numFmtId="0" fontId="7" fillId="0" borderId="0" xfId="2" applyFont="1" applyFill="1">
      <alignment vertical="center"/>
    </xf>
    <xf numFmtId="14" fontId="7" fillId="0" borderId="0" xfId="2" applyNumberFormat="1" applyFont="1" applyFill="1">
      <alignment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right" vertical="center"/>
    </xf>
    <xf numFmtId="0" fontId="7" fillId="0" borderId="4" xfId="2" applyFont="1" applyBorder="1" applyAlignment="1">
      <alignment horizontal="left" vertical="center"/>
    </xf>
    <xf numFmtId="177" fontId="7" fillId="0" borderId="5" xfId="2" applyNumberFormat="1" applyFont="1" applyBorder="1" applyAlignment="1">
      <alignment horizontal="center" vertical="center"/>
    </xf>
    <xf numFmtId="177" fontId="7" fillId="0" borderId="5" xfId="2" applyNumberFormat="1" applyFont="1" applyFill="1" applyBorder="1" applyAlignment="1">
      <alignment horizontal="center" vertical="center"/>
    </xf>
    <xf numFmtId="177" fontId="7" fillId="0" borderId="4" xfId="2" applyNumberFormat="1" applyFont="1" applyFill="1" applyBorder="1" applyAlignment="1">
      <alignment horizontal="center" vertical="center"/>
    </xf>
    <xf numFmtId="177" fontId="7" fillId="3" borderId="5" xfId="2" applyNumberFormat="1" applyFont="1" applyFill="1" applyBorder="1" applyAlignment="1">
      <alignment horizontal="center" vertical="center"/>
    </xf>
    <xf numFmtId="3" fontId="7" fillId="0" borderId="0" xfId="2" applyNumberFormat="1" applyFont="1" applyFill="1" applyBorder="1" applyAlignment="1">
      <alignment horizontal="right" vertical="center"/>
    </xf>
    <xf numFmtId="0" fontId="7" fillId="0" borderId="6" xfId="2" applyFont="1" applyBorder="1" applyAlignment="1">
      <alignment horizontal="left" vertical="center"/>
    </xf>
    <xf numFmtId="177" fontId="7" fillId="0" borderId="0" xfId="2" applyNumberFormat="1" applyFont="1" applyBorder="1" applyAlignment="1">
      <alignment horizontal="center" vertical="center"/>
    </xf>
    <xf numFmtId="177" fontId="7" fillId="0" borderId="0" xfId="2" applyNumberFormat="1" applyFont="1" applyFill="1" applyBorder="1" applyAlignment="1">
      <alignment horizontal="center" vertical="center"/>
    </xf>
    <xf numFmtId="177" fontId="7" fillId="3" borderId="0" xfId="2" applyNumberFormat="1" applyFont="1" applyFill="1" applyBorder="1" applyAlignment="1">
      <alignment horizontal="center" vertical="center"/>
    </xf>
    <xf numFmtId="178" fontId="7" fillId="0" borderId="0" xfId="2" applyNumberFormat="1" applyFont="1" applyBorder="1" applyAlignment="1">
      <alignment horizontal="center" vertical="center"/>
    </xf>
    <xf numFmtId="178" fontId="7" fillId="0" borderId="0" xfId="2" applyNumberFormat="1" applyFont="1" applyFill="1" applyBorder="1" applyAlignment="1">
      <alignment horizontal="center" vertical="center"/>
    </xf>
    <xf numFmtId="178" fontId="7" fillId="0" borderId="6" xfId="2" applyNumberFormat="1" applyFont="1" applyFill="1" applyBorder="1" applyAlignment="1">
      <alignment horizontal="center" vertical="center"/>
    </xf>
    <xf numFmtId="178" fontId="7" fillId="3" borderId="0" xfId="2" applyNumberFormat="1" applyFont="1" applyFill="1" applyBorder="1" applyAlignment="1">
      <alignment horizontal="center" vertical="center"/>
    </xf>
    <xf numFmtId="0" fontId="7" fillId="0" borderId="7" xfId="2" applyFont="1" applyBorder="1" applyAlignment="1">
      <alignment horizontal="left" vertical="center"/>
    </xf>
    <xf numFmtId="178" fontId="7" fillId="0" borderId="8" xfId="2" applyNumberFormat="1" applyFont="1" applyBorder="1" applyAlignment="1">
      <alignment horizontal="center" vertical="center"/>
    </xf>
    <xf numFmtId="178" fontId="7" fillId="0" borderId="8" xfId="2" applyNumberFormat="1" applyFont="1" applyFill="1" applyBorder="1" applyAlignment="1">
      <alignment horizontal="center" vertical="center"/>
    </xf>
    <xf numFmtId="178" fontId="7" fillId="0" borderId="7" xfId="2" applyNumberFormat="1" applyFont="1" applyFill="1" applyBorder="1" applyAlignment="1">
      <alignment horizontal="center" vertical="center"/>
    </xf>
    <xf numFmtId="178" fontId="7" fillId="3" borderId="8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right" vertical="center"/>
    </xf>
    <xf numFmtId="176" fontId="7" fillId="3" borderId="0" xfId="2" applyNumberFormat="1" applyFont="1" applyFill="1" applyBorder="1" applyAlignment="1">
      <alignment horizontal="center" vertical="center"/>
    </xf>
    <xf numFmtId="176" fontId="7" fillId="0" borderId="0" xfId="2" applyNumberFormat="1" applyFont="1" applyBorder="1" applyAlignment="1">
      <alignment horizontal="center" vertical="center"/>
    </xf>
    <xf numFmtId="176" fontId="7" fillId="0" borderId="0" xfId="2" applyNumberFormat="1" applyFont="1" applyFill="1" applyBorder="1" applyAlignment="1">
      <alignment horizontal="center" vertical="center"/>
    </xf>
    <xf numFmtId="176" fontId="7" fillId="0" borderId="6" xfId="2" applyNumberFormat="1" applyFont="1" applyFill="1" applyBorder="1" applyAlignment="1">
      <alignment horizontal="center" vertical="center"/>
    </xf>
    <xf numFmtId="176" fontId="7" fillId="0" borderId="0" xfId="1" applyNumberFormat="1" applyFont="1" applyFill="1" applyBorder="1" applyAlignment="1">
      <alignment horizontal="center" vertical="center"/>
    </xf>
    <xf numFmtId="176" fontId="7" fillId="0" borderId="6" xfId="1" applyNumberFormat="1" applyFont="1" applyFill="1" applyBorder="1" applyAlignment="1">
      <alignment horizontal="center" vertical="center"/>
    </xf>
    <xf numFmtId="0" fontId="7" fillId="0" borderId="10" xfId="2" applyFont="1" applyBorder="1" applyAlignment="1">
      <alignment horizontal="left" vertical="center"/>
    </xf>
    <xf numFmtId="176" fontId="7" fillId="3" borderId="9" xfId="2" applyNumberFormat="1" applyFont="1" applyFill="1" applyBorder="1" applyAlignment="1">
      <alignment horizontal="center" vertical="center"/>
    </xf>
    <xf numFmtId="0" fontId="8" fillId="2" borderId="13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left" vertical="center"/>
    </xf>
    <xf numFmtId="176" fontId="7" fillId="0" borderId="5" xfId="2" applyNumberFormat="1" applyFont="1" applyBorder="1" applyAlignment="1">
      <alignment horizontal="center" vertical="center"/>
    </xf>
    <xf numFmtId="176" fontId="7" fillId="0" borderId="5" xfId="2" applyNumberFormat="1" applyFont="1" applyFill="1" applyBorder="1" applyAlignment="1">
      <alignment horizontal="center" vertical="center"/>
    </xf>
    <xf numFmtId="176" fontId="7" fillId="0" borderId="4" xfId="2" applyNumberFormat="1" applyFont="1" applyFill="1" applyBorder="1" applyAlignment="1">
      <alignment horizontal="center" vertical="center"/>
    </xf>
    <xf numFmtId="178" fontId="7" fillId="0" borderId="5" xfId="2" applyNumberFormat="1" applyFont="1" applyBorder="1" applyAlignment="1">
      <alignment horizontal="center" vertical="center"/>
    </xf>
    <xf numFmtId="178" fontId="7" fillId="0" borderId="5" xfId="2" applyNumberFormat="1" applyFont="1" applyFill="1" applyBorder="1" applyAlignment="1">
      <alignment horizontal="center" vertical="center"/>
    </xf>
    <xf numFmtId="178" fontId="7" fillId="0" borderId="4" xfId="2" applyNumberFormat="1" applyFont="1" applyFill="1" applyBorder="1" applyAlignment="1">
      <alignment horizontal="center" vertical="center"/>
    </xf>
    <xf numFmtId="178" fontId="7" fillId="3" borderId="14" xfId="2" applyNumberFormat="1" applyFont="1" applyFill="1" applyBorder="1" applyAlignment="1">
      <alignment horizontal="center" vertical="center"/>
    </xf>
    <xf numFmtId="178" fontId="7" fillId="3" borderId="2" xfId="2" applyNumberFormat="1" applyFont="1" applyFill="1" applyBorder="1" applyAlignment="1">
      <alignment horizontal="center" vertical="center"/>
    </xf>
    <xf numFmtId="178" fontId="7" fillId="3" borderId="16" xfId="2" applyNumberFormat="1" applyFont="1" applyFill="1" applyBorder="1" applyAlignment="1">
      <alignment horizontal="center" vertical="center"/>
    </xf>
    <xf numFmtId="0" fontId="8" fillId="2" borderId="15" xfId="2" applyFont="1" applyFill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176" fontId="7" fillId="0" borderId="19" xfId="2" applyNumberFormat="1" applyFont="1" applyBorder="1" applyAlignment="1">
      <alignment horizontal="center" vertical="center"/>
    </xf>
    <xf numFmtId="176" fontId="7" fillId="0" borderId="19" xfId="2" applyNumberFormat="1" applyFont="1" applyFill="1" applyBorder="1" applyAlignment="1">
      <alignment horizontal="center" vertical="center"/>
    </xf>
    <xf numFmtId="176" fontId="7" fillId="0" borderId="17" xfId="2" applyNumberFormat="1" applyFont="1" applyFill="1" applyBorder="1" applyAlignment="1">
      <alignment horizontal="center" vertical="center"/>
    </xf>
  </cellXfs>
  <cellStyles count="4">
    <cellStyle name="fa_column_header_bottom" xfId="3"/>
    <cellStyle name="쉼표 [0]" xfId="1" builtinId="6"/>
    <cellStyle name="표준" xfId="0" builtinId="0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3267195767196E-2"/>
          <c:y val="0.14651023391812865"/>
          <c:w val="0.89428720238095238"/>
          <c:h val="0.7732280701754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값복사!$D$10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값복사!$E$9:$AJ$9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값복사!$E$10:$AJ$10</c:f>
              <c:numCache>
                <c:formatCode>#,##0_ </c:formatCode>
                <c:ptCount val="32"/>
                <c:pt idx="0">
                  <c:v>2220</c:v>
                </c:pt>
                <c:pt idx="1">
                  <c:v>2579</c:v>
                </c:pt>
                <c:pt idx="2">
                  <c:v>3014</c:v>
                </c:pt>
                <c:pt idx="3">
                  <c:v>3105</c:v>
                </c:pt>
                <c:pt idx="4">
                  <c:v>3080</c:v>
                </c:pt>
                <c:pt idx="5">
                  <c:v>3866</c:v>
                </c:pt>
                <c:pt idx="6">
                  <c:v>4726</c:v>
                </c:pt>
                <c:pt idx="7">
                  <c:v>5003</c:v>
                </c:pt>
                <c:pt idx="8">
                  <c:v>5661</c:v>
                </c:pt>
                <c:pt idx="9">
                  <c:v>6507</c:v>
                </c:pt>
                <c:pt idx="10">
                  <c:v>7103</c:v>
                </c:pt>
                <c:pt idx="11">
                  <c:v>7643</c:v>
                </c:pt>
                <c:pt idx="12">
                  <c:v>8288</c:v>
                </c:pt>
                <c:pt idx="13">
                  <c:v>6704</c:v>
                </c:pt>
                <c:pt idx="14">
                  <c:v>5931</c:v>
                </c:pt>
                <c:pt idx="15">
                  <c:v>6051</c:v>
                </c:pt>
                <c:pt idx="16">
                  <c:v>7192</c:v>
                </c:pt>
                <c:pt idx="17">
                  <c:v>13507</c:v>
                </c:pt>
                <c:pt idx="18">
                  <c:v>18120</c:v>
                </c:pt>
                <c:pt idx="19">
                  <c:v>22103</c:v>
                </c:pt>
                <c:pt idx="20">
                  <c:v>26044</c:v>
                </c:pt>
                <c:pt idx="21">
                  <c:v>30040</c:v>
                </c:pt>
                <c:pt idx="22">
                  <c:v>35082</c:v>
                </c:pt>
                <c:pt idx="23">
                  <c:v>39331</c:v>
                </c:pt>
                <c:pt idx="24">
                  <c:v>44062</c:v>
                </c:pt>
                <c:pt idx="25">
                  <c:v>78756.822222222225</c:v>
                </c:pt>
                <c:pt idx="26">
                  <c:v>86089.57446808512</c:v>
                </c:pt>
                <c:pt idx="27">
                  <c:v>97094.659574468082</c:v>
                </c:pt>
                <c:pt idx="28">
                  <c:v>109038.02083333333</c:v>
                </c:pt>
                <c:pt idx="29">
                  <c:v>114160.42105263157</c:v>
                </c:pt>
                <c:pt idx="30">
                  <c:v>120042.89473684211</c:v>
                </c:pt>
                <c:pt idx="31">
                  <c:v>127198.81578947368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6-4BD2-94D3-7810E57DD4BC}"/>
            </c:ext>
          </c:extLst>
        </c:ser>
        <c:ser>
          <c:idx val="5"/>
          <c:order val="1"/>
          <c:tx>
            <c:strRef>
              <c:f>값복사!$D$15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00349E"/>
            </a:solidFill>
            <a:ln>
              <a:noFill/>
            </a:ln>
            <a:effectLst/>
          </c:spPr>
          <c:invertIfNegative val="0"/>
          <c:cat>
            <c:strRef>
              <c:f>값복사!$E$9:$AJ$9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값복사!$E$15:$AJ$15</c:f>
              <c:numCache>
                <c:formatCode>#,##0_ </c:formatCode>
                <c:ptCount val="32"/>
                <c:pt idx="0">
                  <c:v>379</c:v>
                </c:pt>
                <c:pt idx="1">
                  <c:v>578</c:v>
                </c:pt>
                <c:pt idx="2">
                  <c:v>934</c:v>
                </c:pt>
                <c:pt idx="3">
                  <c:v>1000</c:v>
                </c:pt>
                <c:pt idx="4">
                  <c:v>981</c:v>
                </c:pt>
                <c:pt idx="5">
                  <c:v>1387</c:v>
                </c:pt>
                <c:pt idx="6">
                  <c:v>1611</c:v>
                </c:pt>
                <c:pt idx="7">
                  <c:v>1672</c:v>
                </c:pt>
                <c:pt idx="8">
                  <c:v>2215</c:v>
                </c:pt>
                <c:pt idx="9">
                  <c:v>2692</c:v>
                </c:pt>
                <c:pt idx="10">
                  <c:v>2913</c:v>
                </c:pt>
                <c:pt idx="11">
                  <c:v>3212</c:v>
                </c:pt>
                <c:pt idx="12">
                  <c:v>3228</c:v>
                </c:pt>
                <c:pt idx="13">
                  <c:v>620</c:v>
                </c:pt>
                <c:pt idx="14">
                  <c:v>737</c:v>
                </c:pt>
                <c:pt idx="15">
                  <c:v>1485</c:v>
                </c:pt>
                <c:pt idx="16">
                  <c:v>2313</c:v>
                </c:pt>
                <c:pt idx="17">
                  <c:v>6937</c:v>
                </c:pt>
                <c:pt idx="18">
                  <c:v>10578</c:v>
                </c:pt>
                <c:pt idx="19">
                  <c:v>13756</c:v>
                </c:pt>
                <c:pt idx="20">
                  <c:v>17049</c:v>
                </c:pt>
                <c:pt idx="21">
                  <c:v>18783</c:v>
                </c:pt>
                <c:pt idx="22">
                  <c:v>22024</c:v>
                </c:pt>
                <c:pt idx="23">
                  <c:v>24195</c:v>
                </c:pt>
                <c:pt idx="24" formatCode="0.0">
                  <c:v>21798</c:v>
                </c:pt>
                <c:pt idx="25">
                  <c:v>51894.911111111112</c:v>
                </c:pt>
                <c:pt idx="26">
                  <c:v>57304.045454545456</c:v>
                </c:pt>
                <c:pt idx="27">
                  <c:v>64461.409090909088</c:v>
                </c:pt>
                <c:pt idx="28">
                  <c:v>73001.2</c:v>
                </c:pt>
                <c:pt idx="29">
                  <c:v>76024.68421052632</c:v>
                </c:pt>
                <c:pt idx="30">
                  <c:v>79803.631578947374</c:v>
                </c:pt>
                <c:pt idx="31">
                  <c:v>84434.236842105267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76-4BD2-94D3-7810E57DD4BC}"/>
            </c:ext>
          </c:extLst>
        </c:ser>
        <c:ser>
          <c:idx val="10"/>
          <c:order val="3"/>
          <c:tx>
            <c:strRef>
              <c:f>값복사!$D$20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f>값복사!$E$9:$AJ$9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값복사!$E$20:$AJ$20</c:f>
              <c:numCache>
                <c:formatCode>#,##0_ </c:formatCode>
                <c:ptCount val="32"/>
                <c:pt idx="0">
                  <c:v>409.72359999999998</c:v>
                </c:pt>
                <c:pt idx="1">
                  <c:v>558.36360000000002</c:v>
                </c:pt>
                <c:pt idx="2">
                  <c:v>905.21209999999996</c:v>
                </c:pt>
                <c:pt idx="3">
                  <c:v>959.65219999999999</c:v>
                </c:pt>
                <c:pt idx="4">
                  <c:v>926.11500000000001</c:v>
                </c:pt>
                <c:pt idx="5">
                  <c:v>1239.7013999999999</c:v>
                </c:pt>
                <c:pt idx="6">
                  <c:v>1511.5971</c:v>
                </c:pt>
                <c:pt idx="7">
                  <c:v>1592.8885</c:v>
                </c:pt>
                <c:pt idx="8">
                  <c:v>2041.4297999999999</c:v>
                </c:pt>
                <c:pt idx="9">
                  <c:v>2571.9688999999998</c:v>
                </c:pt>
                <c:pt idx="10">
                  <c:v>2624.7536</c:v>
                </c:pt>
                <c:pt idx="11">
                  <c:v>3106.19</c:v>
                </c:pt>
                <c:pt idx="12">
                  <c:v>2811.8361</c:v>
                </c:pt>
                <c:pt idx="13">
                  <c:v>756.93650000000002</c:v>
                </c:pt>
                <c:pt idx="14">
                  <c:v>796.92460000000005</c:v>
                </c:pt>
                <c:pt idx="15">
                  <c:v>1598.9489000000001</c:v>
                </c:pt>
                <c:pt idx="16">
                  <c:v>2178.1563999999998</c:v>
                </c:pt>
                <c:pt idx="17">
                  <c:v>6233.2458999999999</c:v>
                </c:pt>
                <c:pt idx="18">
                  <c:v>9390.6941999999999</c:v>
                </c:pt>
                <c:pt idx="19">
                  <c:v>12209.656000000001</c:v>
                </c:pt>
                <c:pt idx="20">
                  <c:v>14904.426100000001</c:v>
                </c:pt>
                <c:pt idx="21">
                  <c:v>16582.358100000001</c:v>
                </c:pt>
                <c:pt idx="22">
                  <c:v>19369.3341</c:v>
                </c:pt>
                <c:pt idx="23">
                  <c:v>22109.716899999999</c:v>
                </c:pt>
                <c:pt idx="24" formatCode="0.0">
                  <c:v>19031.353299999999</c:v>
                </c:pt>
                <c:pt idx="25">
                  <c:v>43071.548000000003</c:v>
                </c:pt>
                <c:pt idx="26">
                  <c:v>47512.341</c:v>
                </c:pt>
                <c:pt idx="27">
                  <c:v>53239.756000000001</c:v>
                </c:pt>
                <c:pt idx="28">
                  <c:v>60378.429000000004</c:v>
                </c:pt>
                <c:pt idx="29">
                  <c:v>63359.806000000004</c:v>
                </c:pt>
                <c:pt idx="30">
                  <c:v>66465.332999999999</c:v>
                </c:pt>
                <c:pt idx="31">
                  <c:v>70396.694000000003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76-4BD2-94D3-7810E57DD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6"/>
          <c:order val="2"/>
          <c:tx>
            <c:strRef>
              <c:f>값복사!$D$16</c:f>
              <c:strCache>
                <c:ptCount val="1"/>
                <c:pt idx="0">
                  <c:v>OPM(%)</c:v>
                </c:pt>
              </c:strCache>
            </c:strRef>
          </c:tx>
          <c:spPr>
            <a:ln w="15875" cap="rnd">
              <a:solidFill>
                <a:srgbClr val="729FFF"/>
              </a:solidFill>
              <a:round/>
            </a:ln>
            <a:effectLst/>
          </c:spPr>
          <c:marker>
            <c:symbol val="none"/>
          </c:marker>
          <c:cat>
            <c:strRef>
              <c:f>값복사!$G$9:$O$9</c:f>
              <c:strCache>
                <c:ptCount val="9"/>
                <c:pt idx="0">
                  <c:v>3Q20</c:v>
                </c:pt>
                <c:pt idx="1">
                  <c:v>4Q20</c:v>
                </c:pt>
                <c:pt idx="2">
                  <c:v>1Q21</c:v>
                </c:pt>
                <c:pt idx="3">
                  <c:v>2Q21</c:v>
                </c:pt>
                <c:pt idx="4">
                  <c:v>3Q21</c:v>
                </c:pt>
                <c:pt idx="5">
                  <c:v>4Q21</c:v>
                </c:pt>
                <c:pt idx="6">
                  <c:v>1Q22</c:v>
                </c:pt>
                <c:pt idx="7">
                  <c:v>2Q22</c:v>
                </c:pt>
                <c:pt idx="8">
                  <c:v>3Q22</c:v>
                </c:pt>
              </c:strCache>
            </c:strRef>
          </c:cat>
          <c:val>
            <c:numRef>
              <c:f>값복사!$E$16:$AJ$16</c:f>
              <c:numCache>
                <c:formatCode>#,##0.0_ </c:formatCode>
                <c:ptCount val="32"/>
                <c:pt idx="0">
                  <c:v>17.072072072072071</c:v>
                </c:pt>
                <c:pt idx="1">
                  <c:v>22.411787514540517</c:v>
                </c:pt>
                <c:pt idx="2">
                  <c:v>30.988719309887191</c:v>
                </c:pt>
                <c:pt idx="3">
                  <c:v>32.206119162640903</c:v>
                </c:pt>
                <c:pt idx="4">
                  <c:v>31.850649350649352</c:v>
                </c:pt>
                <c:pt idx="5">
                  <c:v>35.87687532333161</c:v>
                </c:pt>
                <c:pt idx="6">
                  <c:v>34.088023698688104</c:v>
                </c:pt>
                <c:pt idx="7">
                  <c:v>33.419948031181292</c:v>
                </c:pt>
                <c:pt idx="8">
                  <c:v>39.127362656774423</c:v>
                </c:pt>
                <c:pt idx="9">
                  <c:v>41.370831412325188</c:v>
                </c:pt>
                <c:pt idx="10">
                  <c:v>41.010840489933834</c:v>
                </c:pt>
                <c:pt idx="11">
                  <c:v>42.025382703127043</c:v>
                </c:pt>
                <c:pt idx="12">
                  <c:v>38.947876447876453</c:v>
                </c:pt>
                <c:pt idx="13">
                  <c:v>9.2482100238663492</c:v>
                </c:pt>
                <c:pt idx="14">
                  <c:v>12.42623503625021</c:v>
                </c:pt>
                <c:pt idx="15">
                  <c:v>24.541398116013884</c:v>
                </c:pt>
                <c:pt idx="16">
                  <c:v>32.160734149054505</c:v>
                </c:pt>
                <c:pt idx="17">
                  <c:v>51.358554823424896</c:v>
                </c:pt>
                <c:pt idx="18">
                  <c:v>58.377483443708613</c:v>
                </c:pt>
                <c:pt idx="19">
                  <c:v>62.235895579785549</c:v>
                </c:pt>
                <c:pt idx="20">
                  <c:v>65.462294578405775</c:v>
                </c:pt>
                <c:pt idx="21">
                  <c:v>62.526631158455395</c:v>
                </c:pt>
                <c:pt idx="22">
                  <c:v>62.778632917165503</c:v>
                </c:pt>
                <c:pt idx="23">
                  <c:v>61.51636114006763</c:v>
                </c:pt>
                <c:pt idx="24">
                  <c:v>49.471199673187783</c:v>
                </c:pt>
                <c:pt idx="25">
                  <c:v>65.892591456627244</c:v>
                </c:pt>
                <c:pt idx="26">
                  <c:v>66.56328110413537</c:v>
                </c:pt>
                <c:pt idx="27">
                  <c:v>66.390272516965283</c:v>
                </c:pt>
                <c:pt idx="28">
                  <c:v>66.950224740032382</c:v>
                </c:pt>
                <c:pt idx="29">
                  <c:v>66.59460740380112</c:v>
                </c:pt>
                <c:pt idx="30">
                  <c:v>66.479262895061638</c:v>
                </c:pt>
                <c:pt idx="31">
                  <c:v>66.379734998360433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6-4BD2-94D3-7810E57DD4BC}"/>
            </c:ext>
          </c:extLst>
        </c:ser>
        <c:ser>
          <c:idx val="11"/>
          <c:order val="4"/>
          <c:tx>
            <c:strRef>
              <c:f>값복사!$D$21</c:f>
              <c:strCache>
                <c:ptCount val="1"/>
                <c:pt idx="0">
                  <c:v>순이익률(%)</c:v>
                </c:pt>
              </c:strCache>
            </c:strRef>
          </c:tx>
          <c:spPr>
            <a:ln w="15875" cap="rnd">
              <a:solidFill>
                <a:srgbClr val="B8CFFF"/>
              </a:solidFill>
              <a:round/>
            </a:ln>
            <a:effectLst/>
          </c:spPr>
          <c:marker>
            <c:symbol val="none"/>
          </c:marker>
          <c:cat>
            <c:strRef>
              <c:f>값복사!$G$9:$O$9</c:f>
              <c:strCache>
                <c:ptCount val="9"/>
                <c:pt idx="0">
                  <c:v>3Q20</c:v>
                </c:pt>
                <c:pt idx="1">
                  <c:v>4Q20</c:v>
                </c:pt>
                <c:pt idx="2">
                  <c:v>1Q21</c:v>
                </c:pt>
                <c:pt idx="3">
                  <c:v>2Q21</c:v>
                </c:pt>
                <c:pt idx="4">
                  <c:v>3Q21</c:v>
                </c:pt>
                <c:pt idx="5">
                  <c:v>4Q21</c:v>
                </c:pt>
                <c:pt idx="6">
                  <c:v>1Q22</c:v>
                </c:pt>
                <c:pt idx="7">
                  <c:v>2Q22</c:v>
                </c:pt>
                <c:pt idx="8">
                  <c:v>3Q22</c:v>
                </c:pt>
              </c:strCache>
            </c:strRef>
          </c:cat>
          <c:val>
            <c:numRef>
              <c:f>값복사!$E$21:$AJ$21</c:f>
              <c:numCache>
                <c:formatCode>#,##0.0_ </c:formatCode>
                <c:ptCount val="32"/>
                <c:pt idx="0">
                  <c:v>18.456018018018018</c:v>
                </c:pt>
                <c:pt idx="1">
                  <c:v>21.650391624660724</c:v>
                </c:pt>
                <c:pt idx="2">
                  <c:v>30.033579960185797</c:v>
                </c:pt>
                <c:pt idx="3">
                  <c:v>30.906673107890498</c:v>
                </c:pt>
                <c:pt idx="4">
                  <c:v>30.068668831168832</c:v>
                </c:pt>
                <c:pt idx="5">
                  <c:v>32.066771857216757</c:v>
                </c:pt>
                <c:pt idx="6">
                  <c:v>31.984703766398642</c:v>
                </c:pt>
                <c:pt idx="7">
                  <c:v>31.838666799920045</c:v>
                </c:pt>
                <c:pt idx="8">
                  <c:v>36.061293057763642</c:v>
                </c:pt>
                <c:pt idx="9">
                  <c:v>39.526185646227134</c:v>
                </c:pt>
                <c:pt idx="10">
                  <c:v>36.952746726735178</c:v>
                </c:pt>
                <c:pt idx="11">
                  <c:v>40.640978673295827</c:v>
                </c:pt>
                <c:pt idx="12">
                  <c:v>33.926593870656369</c:v>
                </c:pt>
                <c:pt idx="13">
                  <c:v>11.290818914081147</c:v>
                </c:pt>
                <c:pt idx="14">
                  <c:v>13.43659753835778</c:v>
                </c:pt>
                <c:pt idx="15">
                  <c:v>26.42453974549661</c:v>
                </c:pt>
                <c:pt idx="16">
                  <c:v>30.285823136818685</c:v>
                </c:pt>
                <c:pt idx="17">
                  <c:v>46.148263122825199</c:v>
                </c:pt>
                <c:pt idx="18">
                  <c:v>51.825023178807953</c:v>
                </c:pt>
                <c:pt idx="19">
                  <c:v>55.239813599963803</c:v>
                </c:pt>
                <c:pt idx="20">
                  <c:v>57.22786860697282</c:v>
                </c:pt>
                <c:pt idx="21">
                  <c:v>55.200925765645813</c:v>
                </c:pt>
                <c:pt idx="22">
                  <c:v>55.211601676073194</c:v>
                </c:pt>
                <c:pt idx="23">
                  <c:v>56.214479418270571</c:v>
                </c:pt>
                <c:pt idx="24">
                  <c:v>43.19221392583178</c:v>
                </c:pt>
                <c:pt idx="25">
                  <c:v>54.689291396837014</c:v>
                </c:pt>
                <c:pt idx="26">
                  <c:v>55.189424844484094</c:v>
                </c:pt>
                <c:pt idx="27">
                  <c:v>54.832836567254283</c:v>
                </c:pt>
                <c:pt idx="28">
                  <c:v>55.373738938539219</c:v>
                </c:pt>
                <c:pt idx="29">
                  <c:v>55.500676517993156</c:v>
                </c:pt>
                <c:pt idx="30">
                  <c:v>55.367985873470673</c:v>
                </c:pt>
                <c:pt idx="31">
                  <c:v>55.343828134778647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76-4BD2-94D3-7810E57DD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16143"/>
        <c:axId val="1437309903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1437309903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316143"/>
        <c:crosses val="max"/>
        <c:crossBetween val="between"/>
      </c:valAx>
      <c:catAx>
        <c:axId val="1437316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30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2414847883597884E-2"/>
          <c:y val="0.12257407407407407"/>
          <c:w val="0.95999997287326388"/>
          <c:h val="0.8774259259259259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값복사!$D$15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값복사!$E$9:$AJ$9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값복사!$E$15:$AJ$15</c:f>
              <c:numCache>
                <c:formatCode>#,##0_ </c:formatCode>
                <c:ptCount val="32"/>
                <c:pt idx="0">
                  <c:v>379</c:v>
                </c:pt>
                <c:pt idx="1">
                  <c:v>578</c:v>
                </c:pt>
                <c:pt idx="2">
                  <c:v>934</c:v>
                </c:pt>
                <c:pt idx="3">
                  <c:v>1000</c:v>
                </c:pt>
                <c:pt idx="4">
                  <c:v>981</c:v>
                </c:pt>
                <c:pt idx="5">
                  <c:v>1387</c:v>
                </c:pt>
                <c:pt idx="6">
                  <c:v>1611</c:v>
                </c:pt>
                <c:pt idx="7">
                  <c:v>1672</c:v>
                </c:pt>
                <c:pt idx="8">
                  <c:v>2215</c:v>
                </c:pt>
                <c:pt idx="9">
                  <c:v>2692</c:v>
                </c:pt>
                <c:pt idx="10">
                  <c:v>2913</c:v>
                </c:pt>
                <c:pt idx="11">
                  <c:v>3212</c:v>
                </c:pt>
                <c:pt idx="12">
                  <c:v>3228</c:v>
                </c:pt>
                <c:pt idx="13">
                  <c:v>620</c:v>
                </c:pt>
                <c:pt idx="14">
                  <c:v>737</c:v>
                </c:pt>
                <c:pt idx="15">
                  <c:v>1485</c:v>
                </c:pt>
                <c:pt idx="16">
                  <c:v>2313</c:v>
                </c:pt>
                <c:pt idx="17">
                  <c:v>6937</c:v>
                </c:pt>
                <c:pt idx="18">
                  <c:v>10578</c:v>
                </c:pt>
                <c:pt idx="19">
                  <c:v>13756</c:v>
                </c:pt>
                <c:pt idx="20">
                  <c:v>17049</c:v>
                </c:pt>
                <c:pt idx="21">
                  <c:v>18783</c:v>
                </c:pt>
                <c:pt idx="22">
                  <c:v>22024</c:v>
                </c:pt>
                <c:pt idx="23">
                  <c:v>24195</c:v>
                </c:pt>
                <c:pt idx="24" formatCode="0.0">
                  <c:v>21798</c:v>
                </c:pt>
                <c:pt idx="25">
                  <c:v>51894.911111111112</c:v>
                </c:pt>
                <c:pt idx="26">
                  <c:v>57304.045454545456</c:v>
                </c:pt>
                <c:pt idx="27">
                  <c:v>64461.409090909088</c:v>
                </c:pt>
                <c:pt idx="28">
                  <c:v>73001.2</c:v>
                </c:pt>
                <c:pt idx="29">
                  <c:v>76024.68421052632</c:v>
                </c:pt>
                <c:pt idx="30">
                  <c:v>79803.631578947374</c:v>
                </c:pt>
                <c:pt idx="31">
                  <c:v>84434.236842105267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E-4BA6-9C11-A45F58B9C20D}"/>
            </c:ext>
          </c:extLst>
        </c:ser>
        <c:ser>
          <c:idx val="10"/>
          <c:order val="2"/>
          <c:tx>
            <c:strRef>
              <c:f>값복사!$D$20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729FFF"/>
            </a:solidFill>
            <a:ln>
              <a:noFill/>
            </a:ln>
            <a:effectLst/>
          </c:spPr>
          <c:invertIfNegative val="0"/>
          <c:cat>
            <c:strRef>
              <c:f>값복사!$E$9:$AJ$9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값복사!$E$20:$AJ$20</c:f>
              <c:numCache>
                <c:formatCode>#,##0_ </c:formatCode>
                <c:ptCount val="32"/>
                <c:pt idx="0">
                  <c:v>409.72359999999998</c:v>
                </c:pt>
                <c:pt idx="1">
                  <c:v>558.36360000000002</c:v>
                </c:pt>
                <c:pt idx="2">
                  <c:v>905.21209999999996</c:v>
                </c:pt>
                <c:pt idx="3">
                  <c:v>959.65219999999999</c:v>
                </c:pt>
                <c:pt idx="4">
                  <c:v>926.11500000000001</c:v>
                </c:pt>
                <c:pt idx="5">
                  <c:v>1239.7013999999999</c:v>
                </c:pt>
                <c:pt idx="6">
                  <c:v>1511.5971</c:v>
                </c:pt>
                <c:pt idx="7">
                  <c:v>1592.8885</c:v>
                </c:pt>
                <c:pt idx="8">
                  <c:v>2041.4297999999999</c:v>
                </c:pt>
                <c:pt idx="9">
                  <c:v>2571.9688999999998</c:v>
                </c:pt>
                <c:pt idx="10">
                  <c:v>2624.7536</c:v>
                </c:pt>
                <c:pt idx="11">
                  <c:v>3106.19</c:v>
                </c:pt>
                <c:pt idx="12">
                  <c:v>2811.8361</c:v>
                </c:pt>
                <c:pt idx="13">
                  <c:v>756.93650000000002</c:v>
                </c:pt>
                <c:pt idx="14">
                  <c:v>796.92460000000005</c:v>
                </c:pt>
                <c:pt idx="15">
                  <c:v>1598.9489000000001</c:v>
                </c:pt>
                <c:pt idx="16">
                  <c:v>2178.1563999999998</c:v>
                </c:pt>
                <c:pt idx="17">
                  <c:v>6233.2458999999999</c:v>
                </c:pt>
                <c:pt idx="18">
                  <c:v>9390.6941999999999</c:v>
                </c:pt>
                <c:pt idx="19">
                  <c:v>12209.656000000001</c:v>
                </c:pt>
                <c:pt idx="20">
                  <c:v>14904.426100000001</c:v>
                </c:pt>
                <c:pt idx="21">
                  <c:v>16582.358100000001</c:v>
                </c:pt>
                <c:pt idx="22">
                  <c:v>19369.3341</c:v>
                </c:pt>
                <c:pt idx="23">
                  <c:v>22109.716899999999</c:v>
                </c:pt>
                <c:pt idx="24" formatCode="0.0">
                  <c:v>19031.353299999999</c:v>
                </c:pt>
                <c:pt idx="25">
                  <c:v>43071.548000000003</c:v>
                </c:pt>
                <c:pt idx="26">
                  <c:v>47512.341</c:v>
                </c:pt>
                <c:pt idx="27">
                  <c:v>53239.756000000001</c:v>
                </c:pt>
                <c:pt idx="28">
                  <c:v>60378.429000000004</c:v>
                </c:pt>
                <c:pt idx="29">
                  <c:v>63359.806000000004</c:v>
                </c:pt>
                <c:pt idx="30">
                  <c:v>66465.332999999999</c:v>
                </c:pt>
                <c:pt idx="31">
                  <c:v>70396.694000000003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7E-4BA6-9C11-A45F58B9C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6"/>
          <c:order val="1"/>
          <c:tx>
            <c:strRef>
              <c:f>값복사!$D$16</c:f>
              <c:strCache>
                <c:ptCount val="1"/>
                <c:pt idx="0">
                  <c:v>OPM(%)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값복사!$G$9:$S$9</c:f>
              <c:strCache>
                <c:ptCount val="13"/>
                <c:pt idx="0">
                  <c:v>3Q20</c:v>
                </c:pt>
                <c:pt idx="1">
                  <c:v>4Q20</c:v>
                </c:pt>
                <c:pt idx="2">
                  <c:v>1Q21</c:v>
                </c:pt>
                <c:pt idx="3">
                  <c:v>2Q21</c:v>
                </c:pt>
                <c:pt idx="4">
                  <c:v>3Q21</c:v>
                </c:pt>
                <c:pt idx="5">
                  <c:v>4Q21</c:v>
                </c:pt>
                <c:pt idx="6">
                  <c:v>1Q22</c:v>
                </c:pt>
                <c:pt idx="7">
                  <c:v>2Q22</c:v>
                </c:pt>
                <c:pt idx="8">
                  <c:v>3Q22</c:v>
                </c:pt>
                <c:pt idx="9">
                  <c:v>4Q22</c:v>
                </c:pt>
                <c:pt idx="10">
                  <c:v>1Q23</c:v>
                </c:pt>
                <c:pt idx="11">
                  <c:v>2Q23</c:v>
                </c:pt>
                <c:pt idx="12">
                  <c:v>3Q23</c:v>
                </c:pt>
              </c:strCache>
            </c:strRef>
          </c:cat>
          <c:val>
            <c:numRef>
              <c:f>값복사!$E$16:$AJ$16</c:f>
              <c:numCache>
                <c:formatCode>#,##0.0_ </c:formatCode>
                <c:ptCount val="32"/>
                <c:pt idx="0">
                  <c:v>17.072072072072071</c:v>
                </c:pt>
                <c:pt idx="1">
                  <c:v>22.411787514540517</c:v>
                </c:pt>
                <c:pt idx="2">
                  <c:v>30.988719309887191</c:v>
                </c:pt>
                <c:pt idx="3">
                  <c:v>32.206119162640903</c:v>
                </c:pt>
                <c:pt idx="4">
                  <c:v>31.850649350649352</c:v>
                </c:pt>
                <c:pt idx="5">
                  <c:v>35.87687532333161</c:v>
                </c:pt>
                <c:pt idx="6">
                  <c:v>34.088023698688104</c:v>
                </c:pt>
                <c:pt idx="7">
                  <c:v>33.419948031181292</c:v>
                </c:pt>
                <c:pt idx="8">
                  <c:v>39.127362656774423</c:v>
                </c:pt>
                <c:pt idx="9">
                  <c:v>41.370831412325188</c:v>
                </c:pt>
                <c:pt idx="10">
                  <c:v>41.010840489933834</c:v>
                </c:pt>
                <c:pt idx="11">
                  <c:v>42.025382703127043</c:v>
                </c:pt>
                <c:pt idx="12">
                  <c:v>38.947876447876453</c:v>
                </c:pt>
                <c:pt idx="13">
                  <c:v>9.2482100238663492</c:v>
                </c:pt>
                <c:pt idx="14">
                  <c:v>12.42623503625021</c:v>
                </c:pt>
                <c:pt idx="15">
                  <c:v>24.541398116013884</c:v>
                </c:pt>
                <c:pt idx="16">
                  <c:v>32.160734149054505</c:v>
                </c:pt>
                <c:pt idx="17">
                  <c:v>51.358554823424896</c:v>
                </c:pt>
                <c:pt idx="18">
                  <c:v>58.377483443708613</c:v>
                </c:pt>
                <c:pt idx="19">
                  <c:v>62.235895579785549</c:v>
                </c:pt>
                <c:pt idx="20">
                  <c:v>65.462294578405775</c:v>
                </c:pt>
                <c:pt idx="21">
                  <c:v>62.526631158455395</c:v>
                </c:pt>
                <c:pt idx="22">
                  <c:v>62.778632917165503</c:v>
                </c:pt>
                <c:pt idx="23">
                  <c:v>61.51636114006763</c:v>
                </c:pt>
                <c:pt idx="24">
                  <c:v>49.471199673187783</c:v>
                </c:pt>
                <c:pt idx="25">
                  <c:v>65.892591456627244</c:v>
                </c:pt>
                <c:pt idx="26">
                  <c:v>66.56328110413537</c:v>
                </c:pt>
                <c:pt idx="27">
                  <c:v>66.390272516965283</c:v>
                </c:pt>
                <c:pt idx="28">
                  <c:v>66.950224740032382</c:v>
                </c:pt>
                <c:pt idx="29">
                  <c:v>66.59460740380112</c:v>
                </c:pt>
                <c:pt idx="30">
                  <c:v>66.479262895061638</c:v>
                </c:pt>
                <c:pt idx="31">
                  <c:v>66.379734998360433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7E-4BA6-9C11-A45F58B9C20D}"/>
            </c:ext>
          </c:extLst>
        </c:ser>
        <c:ser>
          <c:idx val="11"/>
          <c:order val="3"/>
          <c:tx>
            <c:strRef>
              <c:f>값복사!$D$21</c:f>
              <c:strCache>
                <c:ptCount val="1"/>
                <c:pt idx="0">
                  <c:v>순이익률(%)</c:v>
                </c:pt>
              </c:strCache>
            </c:strRef>
          </c:tx>
          <c:spPr>
            <a:ln w="15875" cap="rnd">
              <a:solidFill>
                <a:srgbClr val="A6A6A6"/>
              </a:solidFill>
              <a:round/>
            </a:ln>
            <a:effectLst/>
          </c:spPr>
          <c:marker>
            <c:symbol val="none"/>
          </c:marker>
          <c:cat>
            <c:strRef>
              <c:f>값복사!$G$9:$S$9</c:f>
              <c:strCache>
                <c:ptCount val="13"/>
                <c:pt idx="0">
                  <c:v>3Q20</c:v>
                </c:pt>
                <c:pt idx="1">
                  <c:v>4Q20</c:v>
                </c:pt>
                <c:pt idx="2">
                  <c:v>1Q21</c:v>
                </c:pt>
                <c:pt idx="3">
                  <c:v>2Q21</c:v>
                </c:pt>
                <c:pt idx="4">
                  <c:v>3Q21</c:v>
                </c:pt>
                <c:pt idx="5">
                  <c:v>4Q21</c:v>
                </c:pt>
                <c:pt idx="6">
                  <c:v>1Q22</c:v>
                </c:pt>
                <c:pt idx="7">
                  <c:v>2Q22</c:v>
                </c:pt>
                <c:pt idx="8">
                  <c:v>3Q22</c:v>
                </c:pt>
                <c:pt idx="9">
                  <c:v>4Q22</c:v>
                </c:pt>
                <c:pt idx="10">
                  <c:v>1Q23</c:v>
                </c:pt>
                <c:pt idx="11">
                  <c:v>2Q23</c:v>
                </c:pt>
                <c:pt idx="12">
                  <c:v>3Q23</c:v>
                </c:pt>
              </c:strCache>
            </c:strRef>
          </c:cat>
          <c:val>
            <c:numRef>
              <c:f>값복사!$E$21:$AJ$21</c:f>
              <c:numCache>
                <c:formatCode>#,##0.0_ </c:formatCode>
                <c:ptCount val="32"/>
                <c:pt idx="0">
                  <c:v>18.456018018018018</c:v>
                </c:pt>
                <c:pt idx="1">
                  <c:v>21.650391624660724</c:v>
                </c:pt>
                <c:pt idx="2">
                  <c:v>30.033579960185797</c:v>
                </c:pt>
                <c:pt idx="3">
                  <c:v>30.906673107890498</c:v>
                </c:pt>
                <c:pt idx="4">
                  <c:v>30.068668831168832</c:v>
                </c:pt>
                <c:pt idx="5">
                  <c:v>32.066771857216757</c:v>
                </c:pt>
                <c:pt idx="6">
                  <c:v>31.984703766398642</c:v>
                </c:pt>
                <c:pt idx="7">
                  <c:v>31.838666799920045</c:v>
                </c:pt>
                <c:pt idx="8">
                  <c:v>36.061293057763642</c:v>
                </c:pt>
                <c:pt idx="9">
                  <c:v>39.526185646227134</c:v>
                </c:pt>
                <c:pt idx="10">
                  <c:v>36.952746726735178</c:v>
                </c:pt>
                <c:pt idx="11">
                  <c:v>40.640978673295827</c:v>
                </c:pt>
                <c:pt idx="12">
                  <c:v>33.926593870656369</c:v>
                </c:pt>
                <c:pt idx="13">
                  <c:v>11.290818914081147</c:v>
                </c:pt>
                <c:pt idx="14">
                  <c:v>13.43659753835778</c:v>
                </c:pt>
                <c:pt idx="15">
                  <c:v>26.42453974549661</c:v>
                </c:pt>
                <c:pt idx="16">
                  <c:v>30.285823136818685</c:v>
                </c:pt>
                <c:pt idx="17">
                  <c:v>46.148263122825199</c:v>
                </c:pt>
                <c:pt idx="18">
                  <c:v>51.825023178807953</c:v>
                </c:pt>
                <c:pt idx="19">
                  <c:v>55.239813599963803</c:v>
                </c:pt>
                <c:pt idx="20">
                  <c:v>57.22786860697282</c:v>
                </c:pt>
                <c:pt idx="21">
                  <c:v>55.200925765645813</c:v>
                </c:pt>
                <c:pt idx="22">
                  <c:v>55.211601676073194</c:v>
                </c:pt>
                <c:pt idx="23">
                  <c:v>56.214479418270571</c:v>
                </c:pt>
                <c:pt idx="24">
                  <c:v>43.19221392583178</c:v>
                </c:pt>
                <c:pt idx="25">
                  <c:v>54.689291396837014</c:v>
                </c:pt>
                <c:pt idx="26">
                  <c:v>55.189424844484094</c:v>
                </c:pt>
                <c:pt idx="27">
                  <c:v>54.832836567254283</c:v>
                </c:pt>
                <c:pt idx="28">
                  <c:v>55.373738938539219</c:v>
                </c:pt>
                <c:pt idx="29">
                  <c:v>55.500676517993156</c:v>
                </c:pt>
                <c:pt idx="30">
                  <c:v>55.367985873470673</c:v>
                </c:pt>
                <c:pt idx="31">
                  <c:v>55.343828134778647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7E-4BA6-9C11-A45F58B9C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16143"/>
        <c:axId val="1437309903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1437309903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316143"/>
        <c:crosses val="max"/>
        <c:crossBetween val="between"/>
      </c:valAx>
      <c:catAx>
        <c:axId val="1437316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30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0.11251656920077972"/>
          <c:w val="0.9561081693809258"/>
          <c:h val="0.88748343079922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값복사!$D$10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값복사!$E$10:$AJ$10</c:f>
              <c:numCache>
                <c:formatCode>#,##0_ </c:formatCode>
                <c:ptCount val="32"/>
                <c:pt idx="0">
                  <c:v>2220</c:v>
                </c:pt>
                <c:pt idx="1">
                  <c:v>2579</c:v>
                </c:pt>
                <c:pt idx="2">
                  <c:v>3014</c:v>
                </c:pt>
                <c:pt idx="3">
                  <c:v>3105</c:v>
                </c:pt>
                <c:pt idx="4">
                  <c:v>3080</c:v>
                </c:pt>
                <c:pt idx="5">
                  <c:v>3866</c:v>
                </c:pt>
                <c:pt idx="6">
                  <c:v>4726</c:v>
                </c:pt>
                <c:pt idx="7">
                  <c:v>5003</c:v>
                </c:pt>
                <c:pt idx="8">
                  <c:v>5661</c:v>
                </c:pt>
                <c:pt idx="9">
                  <c:v>6507</c:v>
                </c:pt>
                <c:pt idx="10">
                  <c:v>7103</c:v>
                </c:pt>
                <c:pt idx="11">
                  <c:v>7643</c:v>
                </c:pt>
                <c:pt idx="12">
                  <c:v>8288</c:v>
                </c:pt>
                <c:pt idx="13">
                  <c:v>6704</c:v>
                </c:pt>
                <c:pt idx="14">
                  <c:v>5931</c:v>
                </c:pt>
                <c:pt idx="15">
                  <c:v>6051</c:v>
                </c:pt>
                <c:pt idx="16">
                  <c:v>7192</c:v>
                </c:pt>
                <c:pt idx="17">
                  <c:v>13507</c:v>
                </c:pt>
                <c:pt idx="18">
                  <c:v>18120</c:v>
                </c:pt>
                <c:pt idx="19">
                  <c:v>22103</c:v>
                </c:pt>
                <c:pt idx="20">
                  <c:v>26044</c:v>
                </c:pt>
                <c:pt idx="21">
                  <c:v>30040</c:v>
                </c:pt>
                <c:pt idx="22">
                  <c:v>35082</c:v>
                </c:pt>
                <c:pt idx="23">
                  <c:v>39331</c:v>
                </c:pt>
                <c:pt idx="24">
                  <c:v>44062</c:v>
                </c:pt>
                <c:pt idx="25">
                  <c:v>78756.822222222225</c:v>
                </c:pt>
                <c:pt idx="26">
                  <c:v>86089.57446808512</c:v>
                </c:pt>
                <c:pt idx="27">
                  <c:v>97094.659574468082</c:v>
                </c:pt>
                <c:pt idx="28">
                  <c:v>109038.02083333333</c:v>
                </c:pt>
                <c:pt idx="29">
                  <c:v>114160.42105263157</c:v>
                </c:pt>
                <c:pt idx="30">
                  <c:v>120042.89473684211</c:v>
                </c:pt>
                <c:pt idx="31">
                  <c:v>127198.81578947368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6-4B12-A2A5-B0803B58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"/>
          <c:order val="1"/>
          <c:tx>
            <c:v>YoY</c:v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값복사!$E$29:$AJ$29</c:f>
              <c:numCache>
                <c:formatCode>0.0</c:formatCode>
                <c:ptCount val="32"/>
                <c:pt idx="4">
                  <c:v>38.738738738738746</c:v>
                </c:pt>
                <c:pt idx="5">
                  <c:v>49.903063202791785</c:v>
                </c:pt>
                <c:pt idx="6">
                  <c:v>56.801592568015934</c:v>
                </c:pt>
                <c:pt idx="7">
                  <c:v>61.127214170692426</c:v>
                </c:pt>
                <c:pt idx="8">
                  <c:v>83.798701298701303</c:v>
                </c:pt>
                <c:pt idx="9">
                  <c:v>68.313502327987578</c:v>
                </c:pt>
                <c:pt idx="10">
                  <c:v>50.296233601354203</c:v>
                </c:pt>
                <c:pt idx="11">
                  <c:v>52.768338996602047</c:v>
                </c:pt>
                <c:pt idx="12">
                  <c:v>46.405228758169926</c:v>
                </c:pt>
                <c:pt idx="13">
                  <c:v>3.0275088366374714</c:v>
                </c:pt>
                <c:pt idx="14">
                  <c:v>-16.500070392791777</c:v>
                </c:pt>
                <c:pt idx="15">
                  <c:v>-20.829517205285885</c:v>
                </c:pt>
                <c:pt idx="16">
                  <c:v>-13.223938223938225</c:v>
                </c:pt>
                <c:pt idx="17">
                  <c:v>101.47673031026252</c:v>
                </c:pt>
                <c:pt idx="18">
                  <c:v>205.51340414769851</c:v>
                </c:pt>
                <c:pt idx="19">
                  <c:v>265.27846636919514</c:v>
                </c:pt>
                <c:pt idx="20">
                  <c:v>262.12458286985537</c:v>
                </c:pt>
                <c:pt idx="21">
                  <c:v>122.40319834160064</c:v>
                </c:pt>
                <c:pt idx="22">
                  <c:v>93.609271523178819</c:v>
                </c:pt>
                <c:pt idx="23">
                  <c:v>77.944170474596206</c:v>
                </c:pt>
                <c:pt idx="24">
                  <c:v>69.182921210259551</c:v>
                </c:pt>
                <c:pt idx="25">
                  <c:v>162.17317650540019</c:v>
                </c:pt>
                <c:pt idx="26">
                  <c:v>145.39528666576911</c:v>
                </c:pt>
                <c:pt idx="27">
                  <c:v>146.86547398863007</c:v>
                </c:pt>
                <c:pt idx="28">
                  <c:v>147.4649830541812</c:v>
                </c:pt>
                <c:pt idx="29">
                  <c:v>44.953056549835992</c:v>
                </c:pt>
                <c:pt idx="30">
                  <c:v>39.439526189485427</c:v>
                </c:pt>
                <c:pt idx="31">
                  <c:v>31.004955727680162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A6-4B12-A2A5-B0803B58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88544"/>
        <c:axId val="841692704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841692704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841688544"/>
        <c:crosses val="max"/>
        <c:crossBetween val="between"/>
      </c:valAx>
      <c:catAx>
        <c:axId val="8416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692704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486301303515809E-2"/>
          <c:y val="0.11251656920077972"/>
          <c:w val="0.9561081693809258"/>
          <c:h val="0.88748343079922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값복사!$E$15:$AJ$15</c:f>
              <c:numCache>
                <c:formatCode>#,##0_ </c:formatCode>
                <c:ptCount val="32"/>
                <c:pt idx="0">
                  <c:v>379</c:v>
                </c:pt>
                <c:pt idx="1">
                  <c:v>578</c:v>
                </c:pt>
                <c:pt idx="2">
                  <c:v>934</c:v>
                </c:pt>
                <c:pt idx="3">
                  <c:v>1000</c:v>
                </c:pt>
                <c:pt idx="4">
                  <c:v>981</c:v>
                </c:pt>
                <c:pt idx="5">
                  <c:v>1387</c:v>
                </c:pt>
                <c:pt idx="6">
                  <c:v>1611</c:v>
                </c:pt>
                <c:pt idx="7">
                  <c:v>1672</c:v>
                </c:pt>
                <c:pt idx="8">
                  <c:v>2215</c:v>
                </c:pt>
                <c:pt idx="9">
                  <c:v>2692</c:v>
                </c:pt>
                <c:pt idx="10">
                  <c:v>2913</c:v>
                </c:pt>
                <c:pt idx="11">
                  <c:v>3212</c:v>
                </c:pt>
                <c:pt idx="12">
                  <c:v>3228</c:v>
                </c:pt>
                <c:pt idx="13">
                  <c:v>620</c:v>
                </c:pt>
                <c:pt idx="14">
                  <c:v>737</c:v>
                </c:pt>
                <c:pt idx="15">
                  <c:v>1485</c:v>
                </c:pt>
                <c:pt idx="16">
                  <c:v>2313</c:v>
                </c:pt>
                <c:pt idx="17">
                  <c:v>6937</c:v>
                </c:pt>
                <c:pt idx="18">
                  <c:v>10578</c:v>
                </c:pt>
                <c:pt idx="19">
                  <c:v>13756</c:v>
                </c:pt>
                <c:pt idx="20">
                  <c:v>17049</c:v>
                </c:pt>
                <c:pt idx="21">
                  <c:v>18783</c:v>
                </c:pt>
                <c:pt idx="22">
                  <c:v>22024</c:v>
                </c:pt>
                <c:pt idx="23">
                  <c:v>24195</c:v>
                </c:pt>
                <c:pt idx="24" formatCode="0.0">
                  <c:v>21798</c:v>
                </c:pt>
                <c:pt idx="25">
                  <c:v>51894.911111111112</c:v>
                </c:pt>
                <c:pt idx="26">
                  <c:v>57304.045454545456</c:v>
                </c:pt>
                <c:pt idx="27">
                  <c:v>64461.409090909088</c:v>
                </c:pt>
                <c:pt idx="28">
                  <c:v>73001.2</c:v>
                </c:pt>
                <c:pt idx="29">
                  <c:v>76024.68421052632</c:v>
                </c:pt>
                <c:pt idx="30">
                  <c:v>79803.631578947374</c:v>
                </c:pt>
                <c:pt idx="31">
                  <c:v>84434.236842105267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D-4ABA-9150-E21735C1A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"/>
          <c:order val="1"/>
          <c:tx>
            <c:v>YoY</c:v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값복사!$E$31:$AJ$31</c:f>
              <c:numCache>
                <c:formatCode>0.0</c:formatCode>
                <c:ptCount val="32"/>
                <c:pt idx="4">
                  <c:v>158.83905013192611</c:v>
                </c:pt>
                <c:pt idx="5">
                  <c:v>139.96539792387543</c:v>
                </c:pt>
                <c:pt idx="6">
                  <c:v>72.483940042826546</c:v>
                </c:pt>
                <c:pt idx="7">
                  <c:v>67.199999999999989</c:v>
                </c:pt>
                <c:pt idx="8">
                  <c:v>125.79001019367992</c:v>
                </c:pt>
                <c:pt idx="9">
                  <c:v>94.087959625090107</c:v>
                </c:pt>
                <c:pt idx="10">
                  <c:v>80.819366852886404</c:v>
                </c:pt>
                <c:pt idx="11">
                  <c:v>92.10526315789474</c:v>
                </c:pt>
                <c:pt idx="12">
                  <c:v>45.733634311512404</c:v>
                </c:pt>
                <c:pt idx="13">
                  <c:v>-76.968796433878168</c:v>
                </c:pt>
                <c:pt idx="14">
                  <c:v>-74.699622382423627</c:v>
                </c:pt>
                <c:pt idx="15">
                  <c:v>-53.767123287671239</c:v>
                </c:pt>
                <c:pt idx="16">
                  <c:v>-28.345724907063197</c:v>
                </c:pt>
                <c:pt idx="17">
                  <c:v>1018.8709677419356</c:v>
                </c:pt>
                <c:pt idx="18">
                  <c:v>1335.2781546811398</c:v>
                </c:pt>
                <c:pt idx="19">
                  <c:v>826.3299663299664</c:v>
                </c:pt>
                <c:pt idx="20">
                  <c:v>637.09468223086901</c:v>
                </c:pt>
                <c:pt idx="21">
                  <c:v>170.76546057373503</c:v>
                </c:pt>
                <c:pt idx="22">
                  <c:v>108.20570996407639</c:v>
                </c:pt>
                <c:pt idx="23">
                  <c:v>75.88688572259376</c:v>
                </c:pt>
                <c:pt idx="24">
                  <c:v>27.855006158718986</c:v>
                </c:pt>
                <c:pt idx="25">
                  <c:v>176.28659485231915</c:v>
                </c:pt>
                <c:pt idx="26">
                  <c:v>160.18909123930916</c:v>
                </c:pt>
                <c:pt idx="27">
                  <c:v>166.42450543876458</c:v>
                </c:pt>
                <c:pt idx="28">
                  <c:v>234.89861455179374</c:v>
                </c:pt>
                <c:pt idx="29">
                  <c:v>46.497378226068165</c:v>
                </c:pt>
                <c:pt idx="30">
                  <c:v>39.263521355135332</c:v>
                </c:pt>
                <c:pt idx="31">
                  <c:v>30.984162513464074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D-4ABA-9150-E21735C1A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88544"/>
        <c:axId val="841692704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841692704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841688544"/>
        <c:crosses val="max"/>
        <c:crossBetween val="between"/>
      </c:valAx>
      <c:catAx>
        <c:axId val="8416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69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448344314832321E-2"/>
          <c:y val="0.11251656920077972"/>
          <c:w val="0.9551400560781077"/>
          <c:h val="0.88748343079922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값복사!$E$15:$AJ$15</c:f>
              <c:numCache>
                <c:formatCode>#,##0_ </c:formatCode>
                <c:ptCount val="32"/>
                <c:pt idx="0">
                  <c:v>379</c:v>
                </c:pt>
                <c:pt idx="1">
                  <c:v>578</c:v>
                </c:pt>
                <c:pt idx="2">
                  <c:v>934</c:v>
                </c:pt>
                <c:pt idx="3">
                  <c:v>1000</c:v>
                </c:pt>
                <c:pt idx="4">
                  <c:v>981</c:v>
                </c:pt>
                <c:pt idx="5">
                  <c:v>1387</c:v>
                </c:pt>
                <c:pt idx="6">
                  <c:v>1611</c:v>
                </c:pt>
                <c:pt idx="7">
                  <c:v>1672</c:v>
                </c:pt>
                <c:pt idx="8">
                  <c:v>2215</c:v>
                </c:pt>
                <c:pt idx="9">
                  <c:v>2692</c:v>
                </c:pt>
                <c:pt idx="10">
                  <c:v>2913</c:v>
                </c:pt>
                <c:pt idx="11">
                  <c:v>3212</c:v>
                </c:pt>
                <c:pt idx="12">
                  <c:v>3228</c:v>
                </c:pt>
                <c:pt idx="13">
                  <c:v>620</c:v>
                </c:pt>
                <c:pt idx="14">
                  <c:v>737</c:v>
                </c:pt>
                <c:pt idx="15">
                  <c:v>1485</c:v>
                </c:pt>
                <c:pt idx="16">
                  <c:v>2313</c:v>
                </c:pt>
                <c:pt idx="17">
                  <c:v>6937</c:v>
                </c:pt>
                <c:pt idx="18">
                  <c:v>10578</c:v>
                </c:pt>
                <c:pt idx="19">
                  <c:v>13756</c:v>
                </c:pt>
                <c:pt idx="20">
                  <c:v>17049</c:v>
                </c:pt>
                <c:pt idx="21">
                  <c:v>18783</c:v>
                </c:pt>
                <c:pt idx="22">
                  <c:v>22024</c:v>
                </c:pt>
                <c:pt idx="23">
                  <c:v>24195</c:v>
                </c:pt>
                <c:pt idx="24" formatCode="0.0">
                  <c:v>21798</c:v>
                </c:pt>
                <c:pt idx="25">
                  <c:v>51894.911111111112</c:v>
                </c:pt>
                <c:pt idx="26">
                  <c:v>57304.045454545456</c:v>
                </c:pt>
                <c:pt idx="27">
                  <c:v>64461.409090909088</c:v>
                </c:pt>
                <c:pt idx="28">
                  <c:v>73001.2</c:v>
                </c:pt>
                <c:pt idx="29">
                  <c:v>76024.68421052632</c:v>
                </c:pt>
                <c:pt idx="30">
                  <c:v>79803.631578947374</c:v>
                </c:pt>
                <c:pt idx="31">
                  <c:v>84434.236842105267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2-41A9-87EA-B2B4E6E2C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"/>
          <c:order val="1"/>
          <c:tx>
            <c:v>OPM</c:v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값복사!$E$16:$AJ$16</c:f>
              <c:numCache>
                <c:formatCode>#,##0.0_ </c:formatCode>
                <c:ptCount val="32"/>
                <c:pt idx="0">
                  <c:v>17.072072072072071</c:v>
                </c:pt>
                <c:pt idx="1">
                  <c:v>22.411787514540517</c:v>
                </c:pt>
                <c:pt idx="2">
                  <c:v>30.988719309887191</c:v>
                </c:pt>
                <c:pt idx="3">
                  <c:v>32.206119162640903</c:v>
                </c:pt>
                <c:pt idx="4">
                  <c:v>31.850649350649352</c:v>
                </c:pt>
                <c:pt idx="5">
                  <c:v>35.87687532333161</c:v>
                </c:pt>
                <c:pt idx="6">
                  <c:v>34.088023698688104</c:v>
                </c:pt>
                <c:pt idx="7">
                  <c:v>33.419948031181292</c:v>
                </c:pt>
                <c:pt idx="8">
                  <c:v>39.127362656774423</c:v>
                </c:pt>
                <c:pt idx="9">
                  <c:v>41.370831412325188</c:v>
                </c:pt>
                <c:pt idx="10">
                  <c:v>41.010840489933834</c:v>
                </c:pt>
                <c:pt idx="11">
                  <c:v>42.025382703127043</c:v>
                </c:pt>
                <c:pt idx="12">
                  <c:v>38.947876447876453</c:v>
                </c:pt>
                <c:pt idx="13">
                  <c:v>9.2482100238663492</c:v>
                </c:pt>
                <c:pt idx="14">
                  <c:v>12.42623503625021</c:v>
                </c:pt>
                <c:pt idx="15">
                  <c:v>24.541398116013884</c:v>
                </c:pt>
                <c:pt idx="16">
                  <c:v>32.160734149054505</c:v>
                </c:pt>
                <c:pt idx="17">
                  <c:v>51.358554823424896</c:v>
                </c:pt>
                <c:pt idx="18">
                  <c:v>58.377483443708613</c:v>
                </c:pt>
                <c:pt idx="19">
                  <c:v>62.235895579785549</c:v>
                </c:pt>
                <c:pt idx="20">
                  <c:v>65.462294578405775</c:v>
                </c:pt>
                <c:pt idx="21">
                  <c:v>62.526631158455395</c:v>
                </c:pt>
                <c:pt idx="22">
                  <c:v>62.778632917165503</c:v>
                </c:pt>
                <c:pt idx="23">
                  <c:v>61.51636114006763</c:v>
                </c:pt>
                <c:pt idx="24">
                  <c:v>49.471199673187783</c:v>
                </c:pt>
                <c:pt idx="25">
                  <c:v>65.892591456627244</c:v>
                </c:pt>
                <c:pt idx="26">
                  <c:v>66.56328110413537</c:v>
                </c:pt>
                <c:pt idx="27">
                  <c:v>66.390272516965283</c:v>
                </c:pt>
                <c:pt idx="28">
                  <c:v>66.950224740032382</c:v>
                </c:pt>
                <c:pt idx="29">
                  <c:v>66.59460740380112</c:v>
                </c:pt>
                <c:pt idx="30">
                  <c:v>66.479262895061638</c:v>
                </c:pt>
                <c:pt idx="31">
                  <c:v>66.379734998360433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2-41A9-87EA-B2B4E6E2C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88544"/>
        <c:axId val="841692704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841692704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841688544"/>
        <c:crosses val="max"/>
        <c:crossBetween val="between"/>
      </c:valAx>
      <c:catAx>
        <c:axId val="8416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69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0.11251656920077972"/>
          <c:w val="0.9561081693809258"/>
          <c:h val="0.88748343079922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값복사!$D$10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값복사!$U$28:$AJ$28</c:f>
              <c:strCache>
                <c:ptCount val="1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2Q26E</c:v>
                </c:pt>
                <c:pt idx="10">
                  <c:v>3Q26E</c:v>
                </c:pt>
                <c:pt idx="11">
                  <c:v>4Q26E</c:v>
                </c:pt>
                <c:pt idx="12">
                  <c:v>3Q27E</c:v>
                </c:pt>
                <c:pt idx="13">
                  <c:v>4Q27E</c:v>
                </c:pt>
                <c:pt idx="14">
                  <c:v>3Q28E</c:v>
                </c:pt>
                <c:pt idx="15">
                  <c:v>4Q28E</c:v>
                </c:pt>
              </c:strCache>
            </c:strRef>
          </c:cat>
          <c:val>
            <c:numRef>
              <c:f>값복사!$U$10:$AJ$10</c:f>
              <c:numCache>
                <c:formatCode>#,##0_ </c:formatCode>
                <c:ptCount val="16"/>
                <c:pt idx="0">
                  <c:v>7192</c:v>
                </c:pt>
                <c:pt idx="1">
                  <c:v>13507</c:v>
                </c:pt>
                <c:pt idx="2">
                  <c:v>18120</c:v>
                </c:pt>
                <c:pt idx="3">
                  <c:v>22103</c:v>
                </c:pt>
                <c:pt idx="4">
                  <c:v>26044</c:v>
                </c:pt>
                <c:pt idx="5">
                  <c:v>30040</c:v>
                </c:pt>
                <c:pt idx="6">
                  <c:v>35082</c:v>
                </c:pt>
                <c:pt idx="7">
                  <c:v>39331</c:v>
                </c:pt>
                <c:pt idx="8">
                  <c:v>44062</c:v>
                </c:pt>
                <c:pt idx="9">
                  <c:v>78756.822222222225</c:v>
                </c:pt>
                <c:pt idx="10">
                  <c:v>86089.57446808512</c:v>
                </c:pt>
                <c:pt idx="11">
                  <c:v>97094.659574468082</c:v>
                </c:pt>
                <c:pt idx="12">
                  <c:v>109038.02083333333</c:v>
                </c:pt>
                <c:pt idx="13">
                  <c:v>114160.42105263157</c:v>
                </c:pt>
                <c:pt idx="14">
                  <c:v>120042.89473684211</c:v>
                </c:pt>
                <c:pt idx="15">
                  <c:v>127198.81578947368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1-4CEE-929C-7570EB67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"/>
          <c:order val="1"/>
          <c:tx>
            <c:v>YoY</c:v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값복사!$U$29:$AJ$29</c:f>
              <c:numCache>
                <c:formatCode>0.0</c:formatCode>
                <c:ptCount val="16"/>
                <c:pt idx="0">
                  <c:v>-13.223938223938225</c:v>
                </c:pt>
                <c:pt idx="1">
                  <c:v>101.47673031026252</c:v>
                </c:pt>
                <c:pt idx="2">
                  <c:v>205.51340414769851</c:v>
                </c:pt>
                <c:pt idx="3">
                  <c:v>265.27846636919514</c:v>
                </c:pt>
                <c:pt idx="4">
                  <c:v>262.12458286985537</c:v>
                </c:pt>
                <c:pt idx="5">
                  <c:v>122.40319834160064</c:v>
                </c:pt>
                <c:pt idx="6">
                  <c:v>93.609271523178819</c:v>
                </c:pt>
                <c:pt idx="7">
                  <c:v>77.944170474596206</c:v>
                </c:pt>
                <c:pt idx="8">
                  <c:v>69.182921210259551</c:v>
                </c:pt>
                <c:pt idx="9">
                  <c:v>162.17317650540019</c:v>
                </c:pt>
                <c:pt idx="10">
                  <c:v>145.39528666576911</c:v>
                </c:pt>
                <c:pt idx="11">
                  <c:v>146.86547398863007</c:v>
                </c:pt>
                <c:pt idx="12">
                  <c:v>147.4649830541812</c:v>
                </c:pt>
                <c:pt idx="13">
                  <c:v>44.953056549835992</c:v>
                </c:pt>
                <c:pt idx="14">
                  <c:v>39.439526189485427</c:v>
                </c:pt>
                <c:pt idx="15">
                  <c:v>31.004955727680162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1-4CEE-929C-7570EB67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88544"/>
        <c:axId val="841692704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841692704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841688544"/>
        <c:crosses val="max"/>
        <c:crossBetween val="between"/>
      </c:valAx>
      <c:catAx>
        <c:axId val="8416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69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486301303515809E-2"/>
          <c:y val="0.11251656920077972"/>
          <c:w val="0.9561081693809258"/>
          <c:h val="0.88748343079922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값복사!$U$28:$AJ$28</c:f>
              <c:strCache>
                <c:ptCount val="1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2Q26E</c:v>
                </c:pt>
                <c:pt idx="10">
                  <c:v>3Q26E</c:v>
                </c:pt>
                <c:pt idx="11">
                  <c:v>4Q26E</c:v>
                </c:pt>
                <c:pt idx="12">
                  <c:v>3Q27E</c:v>
                </c:pt>
                <c:pt idx="13">
                  <c:v>4Q27E</c:v>
                </c:pt>
                <c:pt idx="14">
                  <c:v>3Q28E</c:v>
                </c:pt>
                <c:pt idx="15">
                  <c:v>4Q28E</c:v>
                </c:pt>
              </c:strCache>
            </c:strRef>
          </c:cat>
          <c:val>
            <c:numRef>
              <c:f>값복사!$U$15:$AJ$15</c:f>
              <c:numCache>
                <c:formatCode>#,##0_ </c:formatCode>
                <c:ptCount val="16"/>
                <c:pt idx="0">
                  <c:v>2313</c:v>
                </c:pt>
                <c:pt idx="1">
                  <c:v>6937</c:v>
                </c:pt>
                <c:pt idx="2">
                  <c:v>10578</c:v>
                </c:pt>
                <c:pt idx="3">
                  <c:v>13756</c:v>
                </c:pt>
                <c:pt idx="4">
                  <c:v>17049</c:v>
                </c:pt>
                <c:pt idx="5">
                  <c:v>18783</c:v>
                </c:pt>
                <c:pt idx="6">
                  <c:v>22024</c:v>
                </c:pt>
                <c:pt idx="7">
                  <c:v>24195</c:v>
                </c:pt>
                <c:pt idx="8" formatCode="0.0">
                  <c:v>21798</c:v>
                </c:pt>
                <c:pt idx="9">
                  <c:v>51894.911111111112</c:v>
                </c:pt>
                <c:pt idx="10">
                  <c:v>57304.045454545456</c:v>
                </c:pt>
                <c:pt idx="11">
                  <c:v>64461.409090909088</c:v>
                </c:pt>
                <c:pt idx="12">
                  <c:v>73001.2</c:v>
                </c:pt>
                <c:pt idx="13">
                  <c:v>76024.68421052632</c:v>
                </c:pt>
                <c:pt idx="14">
                  <c:v>79803.631578947374</c:v>
                </c:pt>
                <c:pt idx="15">
                  <c:v>84434.236842105267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F-45A9-BEEA-E8BC336E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"/>
          <c:order val="1"/>
          <c:tx>
            <c:v>YoY</c:v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값복사!$U$31:$AJ$31</c:f>
              <c:numCache>
                <c:formatCode>0.0</c:formatCode>
                <c:ptCount val="16"/>
                <c:pt idx="0">
                  <c:v>-28.345724907063197</c:v>
                </c:pt>
                <c:pt idx="1">
                  <c:v>1018.8709677419356</c:v>
                </c:pt>
                <c:pt idx="2">
                  <c:v>1335.2781546811398</c:v>
                </c:pt>
                <c:pt idx="3">
                  <c:v>826.3299663299664</c:v>
                </c:pt>
                <c:pt idx="4">
                  <c:v>637.09468223086901</c:v>
                </c:pt>
                <c:pt idx="5">
                  <c:v>170.76546057373503</c:v>
                </c:pt>
                <c:pt idx="6">
                  <c:v>108.20570996407639</c:v>
                </c:pt>
                <c:pt idx="7">
                  <c:v>75.88688572259376</c:v>
                </c:pt>
                <c:pt idx="8">
                  <c:v>27.855006158718986</c:v>
                </c:pt>
                <c:pt idx="9">
                  <c:v>176.28659485231915</c:v>
                </c:pt>
                <c:pt idx="10">
                  <c:v>160.18909123930916</c:v>
                </c:pt>
                <c:pt idx="11">
                  <c:v>166.42450543876458</c:v>
                </c:pt>
                <c:pt idx="12">
                  <c:v>234.89861455179374</c:v>
                </c:pt>
                <c:pt idx="13">
                  <c:v>46.497378226068165</c:v>
                </c:pt>
                <c:pt idx="14">
                  <c:v>39.263521355135332</c:v>
                </c:pt>
                <c:pt idx="15">
                  <c:v>30.984162513464074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F-45A9-BEEA-E8BC336E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88544"/>
        <c:axId val="841692704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841692704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841688544"/>
        <c:crosses val="max"/>
        <c:crossBetween val="between"/>
      </c:valAx>
      <c:catAx>
        <c:axId val="8416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69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448344314832321E-2"/>
          <c:y val="0.11251656920077972"/>
          <c:w val="0.9551400560781077"/>
          <c:h val="0.88748343079922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값복사!$D$15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값복사!$E$28:$AJ$28</c:f>
              <c:strCache>
                <c:ptCount val="32"/>
                <c:pt idx="0">
                  <c:v>1Q20</c:v>
                </c:pt>
                <c:pt idx="1">
                  <c:v>2Q20</c:v>
                </c:pt>
                <c:pt idx="2">
                  <c:v>3Q20</c:v>
                </c:pt>
                <c:pt idx="3">
                  <c:v>4Q20</c:v>
                </c:pt>
                <c:pt idx="4">
                  <c:v>1Q21</c:v>
                </c:pt>
                <c:pt idx="5">
                  <c:v>2Q21</c:v>
                </c:pt>
                <c:pt idx="6">
                  <c:v>3Q21</c:v>
                </c:pt>
                <c:pt idx="7">
                  <c:v>4Q21</c:v>
                </c:pt>
                <c:pt idx="8">
                  <c:v>1Q22</c:v>
                </c:pt>
                <c:pt idx="9">
                  <c:v>2Q22</c:v>
                </c:pt>
                <c:pt idx="10">
                  <c:v>3Q22</c:v>
                </c:pt>
                <c:pt idx="11">
                  <c:v>4Q22</c:v>
                </c:pt>
                <c:pt idx="12">
                  <c:v>1Q23</c:v>
                </c:pt>
                <c:pt idx="13">
                  <c:v>2Q23</c:v>
                </c:pt>
                <c:pt idx="14">
                  <c:v>3Q23</c:v>
                </c:pt>
                <c:pt idx="15">
                  <c:v>4Q23</c:v>
                </c:pt>
                <c:pt idx="16">
                  <c:v>1Q24</c:v>
                </c:pt>
                <c:pt idx="17">
                  <c:v>2Q24</c:v>
                </c:pt>
                <c:pt idx="18">
                  <c:v>3Q24</c:v>
                </c:pt>
                <c:pt idx="19">
                  <c:v>4Q24</c:v>
                </c:pt>
                <c:pt idx="20">
                  <c:v>1Q25</c:v>
                </c:pt>
                <c:pt idx="21">
                  <c:v>2Q25</c:v>
                </c:pt>
                <c:pt idx="22">
                  <c:v>3Q25</c:v>
                </c:pt>
                <c:pt idx="23">
                  <c:v>4Q25</c:v>
                </c:pt>
                <c:pt idx="24">
                  <c:v>1Q26</c:v>
                </c:pt>
                <c:pt idx="25">
                  <c:v>2Q26E</c:v>
                </c:pt>
                <c:pt idx="26">
                  <c:v>3Q26E</c:v>
                </c:pt>
                <c:pt idx="27">
                  <c:v>4Q26E</c:v>
                </c:pt>
                <c:pt idx="28">
                  <c:v>3Q27E</c:v>
                </c:pt>
                <c:pt idx="29">
                  <c:v>4Q27E</c:v>
                </c:pt>
                <c:pt idx="30">
                  <c:v>3Q28E</c:v>
                </c:pt>
                <c:pt idx="31">
                  <c:v>4Q28E</c:v>
                </c:pt>
              </c:strCache>
            </c:strRef>
          </c:cat>
          <c:val>
            <c:numRef>
              <c:f>값복사!$U$15:$AJ$15</c:f>
              <c:numCache>
                <c:formatCode>#,##0_ </c:formatCode>
                <c:ptCount val="16"/>
                <c:pt idx="0">
                  <c:v>2313</c:v>
                </c:pt>
                <c:pt idx="1">
                  <c:v>6937</c:v>
                </c:pt>
                <c:pt idx="2">
                  <c:v>10578</c:v>
                </c:pt>
                <c:pt idx="3">
                  <c:v>13756</c:v>
                </c:pt>
                <c:pt idx="4">
                  <c:v>17049</c:v>
                </c:pt>
                <c:pt idx="5">
                  <c:v>18783</c:v>
                </c:pt>
                <c:pt idx="6">
                  <c:v>22024</c:v>
                </c:pt>
                <c:pt idx="7">
                  <c:v>24195</c:v>
                </c:pt>
                <c:pt idx="8" formatCode="0.0">
                  <c:v>21798</c:v>
                </c:pt>
                <c:pt idx="9">
                  <c:v>51894.911111111112</c:v>
                </c:pt>
                <c:pt idx="10">
                  <c:v>57304.045454545456</c:v>
                </c:pt>
                <c:pt idx="11">
                  <c:v>64461.409090909088</c:v>
                </c:pt>
                <c:pt idx="12">
                  <c:v>73001.2</c:v>
                </c:pt>
                <c:pt idx="13">
                  <c:v>76024.68421052632</c:v>
                </c:pt>
                <c:pt idx="14">
                  <c:v>79803.631578947374</c:v>
                </c:pt>
                <c:pt idx="15">
                  <c:v>84434.236842105267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6-4B17-8296-634E34B9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"/>
          <c:order val="1"/>
          <c:tx>
            <c:v>OPM</c:v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값복사!$U$28:$AJ$28</c:f>
              <c:strCache>
                <c:ptCount val="1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</c:v>
                </c:pt>
                <c:pt idx="9">
                  <c:v>2Q26E</c:v>
                </c:pt>
                <c:pt idx="10">
                  <c:v>3Q26E</c:v>
                </c:pt>
                <c:pt idx="11">
                  <c:v>4Q26E</c:v>
                </c:pt>
                <c:pt idx="12">
                  <c:v>3Q27E</c:v>
                </c:pt>
                <c:pt idx="13">
                  <c:v>4Q27E</c:v>
                </c:pt>
                <c:pt idx="14">
                  <c:v>3Q28E</c:v>
                </c:pt>
                <c:pt idx="15">
                  <c:v>4Q28E</c:v>
                </c:pt>
              </c:strCache>
            </c:strRef>
          </c:cat>
          <c:val>
            <c:numRef>
              <c:f>값복사!$U$16:$AJ$16</c:f>
              <c:numCache>
                <c:formatCode>#,##0.0_ </c:formatCode>
                <c:ptCount val="16"/>
                <c:pt idx="0">
                  <c:v>32.160734149054505</c:v>
                </c:pt>
                <c:pt idx="1">
                  <c:v>51.358554823424896</c:v>
                </c:pt>
                <c:pt idx="2">
                  <c:v>58.377483443708613</c:v>
                </c:pt>
                <c:pt idx="3">
                  <c:v>62.235895579785549</c:v>
                </c:pt>
                <c:pt idx="4">
                  <c:v>65.462294578405775</c:v>
                </c:pt>
                <c:pt idx="5">
                  <c:v>62.526631158455395</c:v>
                </c:pt>
                <c:pt idx="6">
                  <c:v>62.778632917165503</c:v>
                </c:pt>
                <c:pt idx="7">
                  <c:v>61.51636114006763</c:v>
                </c:pt>
                <c:pt idx="8">
                  <c:v>49.471199673187783</c:v>
                </c:pt>
                <c:pt idx="9">
                  <c:v>65.892591456627244</c:v>
                </c:pt>
                <c:pt idx="10">
                  <c:v>66.56328110413537</c:v>
                </c:pt>
                <c:pt idx="11">
                  <c:v>66.390272516965283</c:v>
                </c:pt>
                <c:pt idx="12">
                  <c:v>66.950224740032382</c:v>
                </c:pt>
                <c:pt idx="13">
                  <c:v>66.59460740380112</c:v>
                </c:pt>
                <c:pt idx="14">
                  <c:v>66.479262895061638</c:v>
                </c:pt>
                <c:pt idx="15">
                  <c:v>66.379734998360433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6-4B17-8296-634E34B9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688544"/>
        <c:axId val="841692704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841692704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841688544"/>
        <c:crosses val="max"/>
        <c:crossBetween val="between"/>
      </c:valAx>
      <c:catAx>
        <c:axId val="8416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69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9</xdr:col>
      <xdr:colOff>561600</xdr:colOff>
      <xdr:row>14</xdr:row>
      <xdr:rowOff>147000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485775</xdr:colOff>
      <xdr:row>4</xdr:row>
      <xdr:rowOff>47625</xdr:rowOff>
    </xdr:from>
    <xdr:to>
      <xdr:col>19</xdr:col>
      <xdr:colOff>361575</xdr:colOff>
      <xdr:row>15</xdr:row>
      <xdr:rowOff>4125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36634</xdr:colOff>
      <xdr:row>17</xdr:row>
      <xdr:rowOff>168520</xdr:rowOff>
    </xdr:from>
    <xdr:to>
      <xdr:col>5</xdr:col>
      <xdr:colOff>173434</xdr:colOff>
      <xdr:row>28</xdr:row>
      <xdr:rowOff>125020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65943</xdr:colOff>
      <xdr:row>17</xdr:row>
      <xdr:rowOff>153865</xdr:rowOff>
    </xdr:from>
    <xdr:to>
      <xdr:col>10</xdr:col>
      <xdr:colOff>202743</xdr:colOff>
      <xdr:row>28</xdr:row>
      <xdr:rowOff>110365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520212</xdr:colOff>
      <xdr:row>17</xdr:row>
      <xdr:rowOff>102577</xdr:rowOff>
    </xdr:from>
    <xdr:to>
      <xdr:col>14</xdr:col>
      <xdr:colOff>659943</xdr:colOff>
      <xdr:row>28</xdr:row>
      <xdr:rowOff>59077</xdr:rowOff>
    </xdr:to>
    <xdr:graphicFrame macro="">
      <xdr:nvGraphicFramePr>
        <xdr:cNvPr id="11" name="차트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36634</xdr:colOff>
      <xdr:row>32</xdr:row>
      <xdr:rowOff>168520</xdr:rowOff>
    </xdr:from>
    <xdr:to>
      <xdr:col>5</xdr:col>
      <xdr:colOff>173434</xdr:colOff>
      <xdr:row>43</xdr:row>
      <xdr:rowOff>125020</xdr:rowOff>
    </xdr:to>
    <xdr:graphicFrame macro="">
      <xdr:nvGraphicFramePr>
        <xdr:cNvPr id="12" name="차트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65943</xdr:colOff>
      <xdr:row>32</xdr:row>
      <xdr:rowOff>153865</xdr:rowOff>
    </xdr:from>
    <xdr:to>
      <xdr:col>10</xdr:col>
      <xdr:colOff>202743</xdr:colOff>
      <xdr:row>43</xdr:row>
      <xdr:rowOff>110365</xdr:rowOff>
    </xdr:to>
    <xdr:graphicFrame macro="">
      <xdr:nvGraphicFramePr>
        <xdr:cNvPr id="13" name="차트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520212</xdr:colOff>
      <xdr:row>32</xdr:row>
      <xdr:rowOff>102577</xdr:rowOff>
    </xdr:from>
    <xdr:to>
      <xdr:col>14</xdr:col>
      <xdr:colOff>659943</xdr:colOff>
      <xdr:row>43</xdr:row>
      <xdr:rowOff>59077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0.07204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00" y="38000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0.97845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917643" y="38000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0.07204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00" y="38000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0.97845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917643" y="38000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2"/>
  <sheetViews>
    <sheetView showGridLines="0" tabSelected="1" zoomScale="130" zoomScaleNormal="130" workbookViewId="0">
      <selection activeCell="S40" sqref="S40"/>
    </sheetView>
  </sheetViews>
  <sheetFormatPr defaultRowHeight="15" x14ac:dyDescent="0.3"/>
  <cols>
    <col min="1" max="16384" width="9" style="2"/>
  </cols>
  <sheetData>
    <row r="3" spans="2:2" x14ac:dyDescent="0.3">
      <c r="B3" s="1" t="s">
        <v>38</v>
      </c>
    </row>
    <row r="17" spans="2:7" x14ac:dyDescent="0.3">
      <c r="B17" s="1" t="s">
        <v>39</v>
      </c>
      <c r="G17" s="1" t="s">
        <v>40</v>
      </c>
    </row>
    <row r="32" spans="2:7" x14ac:dyDescent="0.3">
      <c r="B32" s="1" t="s">
        <v>39</v>
      </c>
      <c r="G32" s="1" t="s">
        <v>40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6"/>
  <sheetViews>
    <sheetView showGridLines="0" topLeftCell="E4" zoomScale="70" zoomScaleNormal="70" workbookViewId="0">
      <selection activeCell="E27" sqref="E27"/>
    </sheetView>
  </sheetViews>
  <sheetFormatPr defaultRowHeight="12.75" x14ac:dyDescent="0.3"/>
  <cols>
    <col min="1" max="1" width="9" style="3" customWidth="1"/>
    <col min="2" max="2" width="22.25" style="3" bestFit="1" customWidth="1"/>
    <col min="3" max="3" width="26.25" style="3" customWidth="1"/>
    <col min="4" max="4" width="19" style="3" customWidth="1"/>
    <col min="5" max="5" width="11.625" style="3" customWidth="1"/>
    <col min="6" max="6" width="13.875" style="3" customWidth="1"/>
    <col min="7" max="34" width="11.625" style="3" customWidth="1"/>
    <col min="35" max="36" width="11.625" style="4" customWidth="1"/>
    <col min="37" max="40" width="9" style="4"/>
    <col min="41" max="16384" width="9" style="3"/>
  </cols>
  <sheetData>
    <row r="1" spans="2:40" ht="16.5" customHeight="1" x14ac:dyDescent="0.3"/>
    <row r="2" spans="2:40" ht="16.5" customHeight="1" x14ac:dyDescent="0.3">
      <c r="AI2" s="5"/>
      <c r="AJ2" s="5"/>
      <c r="AK2" s="5"/>
      <c r="AL2" s="5"/>
      <c r="AM2" s="5"/>
      <c r="AN2" s="5"/>
    </row>
    <row r="3" spans="2:40" ht="16.5" customHeight="1" x14ac:dyDescent="0.3">
      <c r="D3" s="3" t="s">
        <v>137</v>
      </c>
      <c r="E3" s="6" t="s">
        <v>138</v>
      </c>
      <c r="F3" s="6" t="s">
        <v>139</v>
      </c>
      <c r="G3" s="3" t="s">
        <v>140</v>
      </c>
    </row>
    <row r="4" spans="2:40" ht="16.5" customHeight="1" x14ac:dyDescent="0.3">
      <c r="B4" s="6" t="s">
        <v>141</v>
      </c>
      <c r="C4" s="6" t="s">
        <v>142</v>
      </c>
      <c r="D4" s="7" t="s">
        <v>132</v>
      </c>
      <c r="E4" s="3" t="s">
        <v>143</v>
      </c>
      <c r="F4" s="6">
        <v>225.83</v>
      </c>
      <c r="G4" s="46" t="s">
        <v>144</v>
      </c>
      <c r="H4" s="6"/>
      <c r="J4" s="5"/>
      <c r="K4" s="5"/>
      <c r="L4" s="5"/>
      <c r="M4" s="5"/>
      <c r="N4" s="5"/>
      <c r="O4" s="5"/>
      <c r="P4" s="5"/>
      <c r="Q4" s="5"/>
      <c r="R4" s="7"/>
      <c r="S4" s="7"/>
      <c r="T4" s="7"/>
      <c r="U4" s="7"/>
      <c r="V4" s="7"/>
      <c r="W4" s="7"/>
      <c r="X4" s="7"/>
      <c r="Y4" s="7"/>
    </row>
    <row r="5" spans="2:40" ht="16.5" customHeight="1" x14ac:dyDescent="0.3">
      <c r="B5" s="6"/>
    </row>
    <row r="6" spans="2:40" ht="16.5" customHeight="1" x14ac:dyDescent="0.3">
      <c r="E6" s="5" t="s">
        <v>118</v>
      </c>
      <c r="F6" s="5" t="s">
        <v>119</v>
      </c>
      <c r="G6" s="5" t="s">
        <v>107</v>
      </c>
      <c r="H6" s="5" t="s">
        <v>108</v>
      </c>
      <c r="I6" s="5" t="s">
        <v>120</v>
      </c>
      <c r="J6" s="5" t="s">
        <v>121</v>
      </c>
      <c r="K6" s="5" t="s">
        <v>109</v>
      </c>
      <c r="L6" s="5" t="s">
        <v>110</v>
      </c>
      <c r="M6" s="5" t="s">
        <v>122</v>
      </c>
      <c r="N6" s="5" t="s">
        <v>123</v>
      </c>
      <c r="O6" s="5" t="s">
        <v>111</v>
      </c>
      <c r="P6" s="5" t="s">
        <v>112</v>
      </c>
      <c r="Q6" s="5" t="s">
        <v>124</v>
      </c>
      <c r="R6" s="5" t="s">
        <v>125</v>
      </c>
      <c r="S6" s="5" t="s">
        <v>113</v>
      </c>
      <c r="T6" s="5" t="s">
        <v>114</v>
      </c>
      <c r="U6" s="5" t="s">
        <v>126</v>
      </c>
      <c r="V6" s="5" t="s">
        <v>127</v>
      </c>
      <c r="W6" s="5" t="s">
        <v>115</v>
      </c>
      <c r="X6" s="5" t="s">
        <v>116</v>
      </c>
      <c r="Y6" s="5" t="s">
        <v>128</v>
      </c>
      <c r="Z6" s="5" t="s">
        <v>145</v>
      </c>
      <c r="AA6" s="5" t="s">
        <v>146</v>
      </c>
      <c r="AB6" s="5" t="s">
        <v>147</v>
      </c>
      <c r="AC6" s="5" t="s">
        <v>148</v>
      </c>
      <c r="AD6" s="5" t="s">
        <v>149</v>
      </c>
      <c r="AE6" s="5" t="s">
        <v>150</v>
      </c>
      <c r="AF6" s="5" t="s">
        <v>95</v>
      </c>
      <c r="AG6" s="5" t="s">
        <v>96</v>
      </c>
      <c r="AH6" s="5" t="s">
        <v>97</v>
      </c>
      <c r="AI6" s="5" t="s">
        <v>98</v>
      </c>
      <c r="AJ6" s="5" t="s">
        <v>99</v>
      </c>
    </row>
    <row r="7" spans="2:40" ht="16.5" customHeight="1" x14ac:dyDescent="0.3">
      <c r="B7" s="5" t="s">
        <v>151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40" ht="16.5" customHeight="1" thickBot="1" x14ac:dyDescent="0.3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10"/>
      <c r="AJ8" s="11"/>
      <c r="AK8" s="10"/>
      <c r="AL8" s="10"/>
      <c r="AM8" s="10"/>
      <c r="AN8" s="10"/>
    </row>
    <row r="9" spans="2:40" ht="16.5" customHeight="1" thickTop="1" thickBot="1" x14ac:dyDescent="0.35">
      <c r="B9" s="8"/>
      <c r="C9" s="8"/>
      <c r="D9" s="12" t="s">
        <v>0</v>
      </c>
      <c r="E9" s="13" t="s">
        <v>68</v>
      </c>
      <c r="F9" s="13" t="s">
        <v>69</v>
      </c>
      <c r="G9" s="13" t="s">
        <v>70</v>
      </c>
      <c r="H9" s="13" t="s">
        <v>71</v>
      </c>
      <c r="I9" s="13" t="s">
        <v>72</v>
      </c>
      <c r="J9" s="13" t="s">
        <v>73</v>
      </c>
      <c r="K9" s="13" t="s">
        <v>74</v>
      </c>
      <c r="L9" s="13" t="s">
        <v>75</v>
      </c>
      <c r="M9" s="13" t="s">
        <v>76</v>
      </c>
      <c r="N9" s="13" t="s">
        <v>77</v>
      </c>
      <c r="O9" s="13" t="s">
        <v>78</v>
      </c>
      <c r="P9" s="13" t="s">
        <v>79</v>
      </c>
      <c r="Q9" s="13" t="s">
        <v>80</v>
      </c>
      <c r="R9" s="13" t="s">
        <v>81</v>
      </c>
      <c r="S9" s="13" t="s">
        <v>82</v>
      </c>
      <c r="T9" s="13" t="s">
        <v>83</v>
      </c>
      <c r="U9" s="13" t="s">
        <v>84</v>
      </c>
      <c r="V9" s="13" t="s">
        <v>85</v>
      </c>
      <c r="W9" s="13" t="s">
        <v>86</v>
      </c>
      <c r="X9" s="13" t="s">
        <v>87</v>
      </c>
      <c r="Y9" s="13" t="s">
        <v>88</v>
      </c>
      <c r="Z9" s="13" t="s">
        <v>89</v>
      </c>
      <c r="AA9" s="13" t="s">
        <v>45</v>
      </c>
      <c r="AB9" s="14" t="s">
        <v>43</v>
      </c>
      <c r="AC9" s="12" t="s">
        <v>41</v>
      </c>
      <c r="AD9" s="14" t="s">
        <v>152</v>
      </c>
      <c r="AE9" s="14" t="s">
        <v>153</v>
      </c>
      <c r="AF9" s="14" t="s">
        <v>154</v>
      </c>
      <c r="AG9" s="14" t="s">
        <v>100</v>
      </c>
      <c r="AH9" s="14" t="s">
        <v>102</v>
      </c>
      <c r="AI9" s="14" t="s">
        <v>101</v>
      </c>
      <c r="AJ9" s="14" t="s">
        <v>103</v>
      </c>
      <c r="AK9" s="15"/>
      <c r="AL9" s="15"/>
      <c r="AM9" s="3"/>
      <c r="AN9" s="3"/>
    </row>
    <row r="10" spans="2:40" ht="18" customHeight="1" x14ac:dyDescent="0.3">
      <c r="B10" s="7" t="s">
        <v>5</v>
      </c>
      <c r="C10" s="7" t="s">
        <v>155</v>
      </c>
      <c r="D10" s="16" t="s">
        <v>1</v>
      </c>
      <c r="E10" s="17">
        <v>2220</v>
      </c>
      <c r="F10" s="17">
        <v>2579</v>
      </c>
      <c r="G10" s="17">
        <v>3014</v>
      </c>
      <c r="H10" s="17">
        <v>3105</v>
      </c>
      <c r="I10" s="17">
        <v>3080</v>
      </c>
      <c r="J10" s="17">
        <v>3866</v>
      </c>
      <c r="K10" s="17">
        <v>4726</v>
      </c>
      <c r="L10" s="17">
        <v>5003</v>
      </c>
      <c r="M10" s="17">
        <v>5661</v>
      </c>
      <c r="N10" s="17">
        <v>6507</v>
      </c>
      <c r="O10" s="17">
        <v>7103</v>
      </c>
      <c r="P10" s="17">
        <v>7643</v>
      </c>
      <c r="Q10" s="17">
        <v>8288</v>
      </c>
      <c r="R10" s="17">
        <v>6704</v>
      </c>
      <c r="S10" s="17">
        <v>5931</v>
      </c>
      <c r="T10" s="17">
        <v>6051</v>
      </c>
      <c r="U10" s="17">
        <v>7192</v>
      </c>
      <c r="V10" s="17">
        <v>13507</v>
      </c>
      <c r="W10" s="17">
        <v>18120</v>
      </c>
      <c r="X10" s="17">
        <v>22103</v>
      </c>
      <c r="Y10" s="17">
        <v>26044</v>
      </c>
      <c r="Z10" s="17">
        <v>30040</v>
      </c>
      <c r="AA10" s="17">
        <v>35082</v>
      </c>
      <c r="AB10" s="18">
        <v>39331</v>
      </c>
      <c r="AC10" s="19">
        <v>44062</v>
      </c>
      <c r="AD10" s="20">
        <v>78756.822222222225</v>
      </c>
      <c r="AE10" s="20">
        <v>86089.57446808512</v>
      </c>
      <c r="AF10" s="20">
        <v>97094.659574468082</v>
      </c>
      <c r="AG10" s="20">
        <v>109038.02083333333</v>
      </c>
      <c r="AH10" s="20">
        <v>114160.42105263157</v>
      </c>
      <c r="AI10" s="20">
        <v>120042.89473684211</v>
      </c>
      <c r="AJ10" s="20">
        <v>127198.81578947368</v>
      </c>
      <c r="AK10" s="21"/>
      <c r="AL10" s="21"/>
      <c r="AM10" s="3"/>
      <c r="AN10" s="3"/>
    </row>
    <row r="11" spans="2:40" ht="18" customHeight="1" x14ac:dyDescent="0.3">
      <c r="B11" s="7"/>
      <c r="C11" s="7"/>
      <c r="D11" s="22" t="s">
        <v>156</v>
      </c>
      <c r="E11" s="23">
        <v>914</v>
      </c>
      <c r="F11" s="23">
        <v>1036</v>
      </c>
      <c r="G11" s="23">
        <v>1098</v>
      </c>
      <c r="H11" s="23">
        <v>1087</v>
      </c>
      <c r="I11" s="23">
        <v>1075</v>
      </c>
      <c r="J11" s="23">
        <v>1329</v>
      </c>
      <c r="K11" s="23">
        <v>1659</v>
      </c>
      <c r="L11" s="23">
        <v>1753</v>
      </c>
      <c r="M11" s="23">
        <v>1940</v>
      </c>
      <c r="N11" s="23">
        <v>2202</v>
      </c>
      <c r="O11" s="23">
        <v>2386</v>
      </c>
      <c r="P11" s="23">
        <v>2558</v>
      </c>
      <c r="Q11" s="23">
        <v>2857</v>
      </c>
      <c r="R11" s="23">
        <v>3668</v>
      </c>
      <c r="S11" s="23">
        <v>2634</v>
      </c>
      <c r="T11" s="23">
        <v>2082</v>
      </c>
      <c r="U11" s="23">
        <v>2425</v>
      </c>
      <c r="V11" s="23">
        <v>3926</v>
      </c>
      <c r="W11" s="23">
        <v>4575</v>
      </c>
      <c r="X11" s="23">
        <v>5189</v>
      </c>
      <c r="Y11" s="23">
        <v>5519</v>
      </c>
      <c r="Z11" s="23">
        <v>7348</v>
      </c>
      <c r="AA11" s="23">
        <v>8810</v>
      </c>
      <c r="AB11" s="24">
        <v>10490</v>
      </c>
      <c r="AC11" s="39">
        <v>17271</v>
      </c>
      <c r="AD11" s="25">
        <v>19668.728781777783</v>
      </c>
      <c r="AE11" s="25">
        <v>21679.937538297869</v>
      </c>
      <c r="AF11" s="25">
        <v>24596.019163404242</v>
      </c>
      <c r="AG11" s="25">
        <v>27548.455963541666</v>
      </c>
      <c r="AH11" s="25">
        <v>28932.817111578945</v>
      </c>
      <c r="AI11" s="25">
        <v>30453.681965789481</v>
      </c>
      <c r="AJ11" s="25">
        <v>32325.035056578941</v>
      </c>
      <c r="AK11" s="21"/>
      <c r="AL11" s="21"/>
      <c r="AM11" s="3"/>
      <c r="AN11" s="3"/>
    </row>
    <row r="12" spans="2:40" ht="18" customHeight="1" x14ac:dyDescent="0.3">
      <c r="B12" s="7"/>
      <c r="C12" s="7"/>
      <c r="D12" s="22" t="s">
        <v>157</v>
      </c>
      <c r="E12" s="26">
        <v>41.171171171171174</v>
      </c>
      <c r="F12" s="26">
        <v>40.17060876308647</v>
      </c>
      <c r="G12" s="26">
        <v>36.429993364299932</v>
      </c>
      <c r="H12" s="26">
        <v>35.008051529790663</v>
      </c>
      <c r="I12" s="26">
        <v>34.902597402597401</v>
      </c>
      <c r="J12" s="26">
        <v>34.37661665804449</v>
      </c>
      <c r="K12" s="26">
        <v>35.103681760473975</v>
      </c>
      <c r="L12" s="26">
        <v>35.038976614031583</v>
      </c>
      <c r="M12" s="26">
        <v>34.269563681328385</v>
      </c>
      <c r="N12" s="26">
        <v>33.840479483633011</v>
      </c>
      <c r="O12" s="26">
        <v>33.59144023651978</v>
      </c>
      <c r="P12" s="26">
        <v>33.46853329844302</v>
      </c>
      <c r="Q12" s="26">
        <v>34.471525096525099</v>
      </c>
      <c r="R12" s="26">
        <v>54.713603818615752</v>
      </c>
      <c r="S12" s="26">
        <v>44.41072331815883</v>
      </c>
      <c r="T12" s="26">
        <v>34.407535944471988</v>
      </c>
      <c r="U12" s="26">
        <v>33.71802002224694</v>
      </c>
      <c r="V12" s="26">
        <v>29.066410009624637</v>
      </c>
      <c r="W12" s="26">
        <v>25.248344370860927</v>
      </c>
      <c r="X12" s="26">
        <v>23.476451160475953</v>
      </c>
      <c r="Y12" s="26">
        <v>21.191061280909231</v>
      </c>
      <c r="Z12" s="26">
        <v>24.460719041278296</v>
      </c>
      <c r="AA12" s="26">
        <v>25.112593352716495</v>
      </c>
      <c r="AB12" s="27">
        <v>26.671073707762329</v>
      </c>
      <c r="AC12" s="28">
        <v>39.197040533793292</v>
      </c>
      <c r="AD12" s="29">
        <v>24.974000000000007</v>
      </c>
      <c r="AE12" s="29">
        <v>25.182999999999993</v>
      </c>
      <c r="AF12" s="29">
        <v>25.331999999999987</v>
      </c>
      <c r="AG12" s="29">
        <v>25.264999999999997</v>
      </c>
      <c r="AH12" s="29">
        <v>25.344000000000001</v>
      </c>
      <c r="AI12" s="29">
        <v>25.369000000000007</v>
      </c>
      <c r="AJ12" s="29">
        <v>25.412999999999997</v>
      </c>
      <c r="AK12" s="21"/>
      <c r="AL12" s="21"/>
      <c r="AM12" s="3"/>
      <c r="AN12" s="3"/>
    </row>
    <row r="13" spans="2:40" ht="18" customHeight="1" x14ac:dyDescent="0.3">
      <c r="B13" s="7" t="s">
        <v>158</v>
      </c>
      <c r="C13" s="7"/>
      <c r="D13" s="22" t="s">
        <v>159</v>
      </c>
      <c r="E13" s="23">
        <v>1306</v>
      </c>
      <c r="F13" s="23">
        <v>1543</v>
      </c>
      <c r="G13" s="23">
        <v>1916</v>
      </c>
      <c r="H13" s="23">
        <v>2018</v>
      </c>
      <c r="I13" s="23">
        <v>2005</v>
      </c>
      <c r="J13" s="23">
        <v>2537</v>
      </c>
      <c r="K13" s="23">
        <v>3067</v>
      </c>
      <c r="L13" s="23">
        <v>3250</v>
      </c>
      <c r="M13" s="23">
        <v>3721</v>
      </c>
      <c r="N13" s="23">
        <v>4305</v>
      </c>
      <c r="O13" s="23">
        <v>4717</v>
      </c>
      <c r="P13" s="23">
        <v>5085</v>
      </c>
      <c r="Q13" s="23">
        <v>5431</v>
      </c>
      <c r="R13" s="23">
        <v>3036</v>
      </c>
      <c r="S13" s="23">
        <v>3297</v>
      </c>
      <c r="T13" s="23">
        <v>3969</v>
      </c>
      <c r="U13" s="23">
        <v>4767</v>
      </c>
      <c r="V13" s="23">
        <v>9581</v>
      </c>
      <c r="W13" s="23">
        <v>13545</v>
      </c>
      <c r="X13" s="23">
        <v>16914</v>
      </c>
      <c r="Y13" s="23">
        <v>20525</v>
      </c>
      <c r="Z13" s="23">
        <v>22692</v>
      </c>
      <c r="AA13" s="23">
        <v>26272</v>
      </c>
      <c r="AB13" s="24">
        <v>28841</v>
      </c>
      <c r="AC13" s="39">
        <v>26791</v>
      </c>
      <c r="AD13" s="25">
        <v>59088.093440444442</v>
      </c>
      <c r="AE13" s="25">
        <v>64409.636929787252</v>
      </c>
      <c r="AF13" s="25">
        <v>72498.64041106384</v>
      </c>
      <c r="AG13" s="25">
        <v>81489.564869791662</v>
      </c>
      <c r="AH13" s="25">
        <v>85227.603941052628</v>
      </c>
      <c r="AI13" s="25">
        <v>89589.212771052626</v>
      </c>
      <c r="AJ13" s="25">
        <v>94873.780732894738</v>
      </c>
      <c r="AK13" s="21"/>
      <c r="AL13" s="21"/>
      <c r="AM13" s="3"/>
      <c r="AN13" s="3"/>
    </row>
    <row r="14" spans="2:40" ht="18" customHeight="1" x14ac:dyDescent="0.3">
      <c r="C14" s="7" t="s">
        <v>160</v>
      </c>
      <c r="D14" s="22" t="s">
        <v>161</v>
      </c>
      <c r="E14" s="26">
        <v>58.828828828828826</v>
      </c>
      <c r="F14" s="26">
        <v>59.82939123691353</v>
      </c>
      <c r="G14" s="26">
        <v>63.570006635700068</v>
      </c>
      <c r="H14" s="26">
        <v>64.991948470209337</v>
      </c>
      <c r="I14" s="26">
        <v>65.097402597402592</v>
      </c>
      <c r="J14" s="26">
        <v>65.623383341955517</v>
      </c>
      <c r="K14" s="26">
        <v>64.896318239526025</v>
      </c>
      <c r="L14" s="26">
        <v>64.961023385968417</v>
      </c>
      <c r="M14" s="26">
        <v>65.730436318671622</v>
      </c>
      <c r="N14" s="26">
        <v>66.159520516366982</v>
      </c>
      <c r="O14" s="26">
        <v>66.408559763480227</v>
      </c>
      <c r="P14" s="26">
        <v>66.53146670155698</v>
      </c>
      <c r="Q14" s="26">
        <v>65.528474903474901</v>
      </c>
      <c r="R14" s="26">
        <v>45.286396181384248</v>
      </c>
      <c r="S14" s="26">
        <v>55.58927668184117</v>
      </c>
      <c r="T14" s="26">
        <v>65.592464055528012</v>
      </c>
      <c r="U14" s="26">
        <v>66.281979977753053</v>
      </c>
      <c r="V14" s="26">
        <v>70.933589990375353</v>
      </c>
      <c r="W14" s="26">
        <v>74.751655629139066</v>
      </c>
      <c r="X14" s="26">
        <v>76.523548839524054</v>
      </c>
      <c r="Y14" s="26">
        <v>78.808938719090776</v>
      </c>
      <c r="Z14" s="26">
        <v>75.539280958721704</v>
      </c>
      <c r="AA14" s="26">
        <v>74.887406647283512</v>
      </c>
      <c r="AB14" s="27">
        <v>73.328926292237668</v>
      </c>
      <c r="AC14" s="28">
        <v>60.802959466206708</v>
      </c>
      <c r="AD14" s="29">
        <v>75.025999999999996</v>
      </c>
      <c r="AE14" s="29">
        <v>74.817000000000007</v>
      </c>
      <c r="AF14" s="29">
        <v>74.668000000000006</v>
      </c>
      <c r="AG14" s="29">
        <v>74.734999999999999</v>
      </c>
      <c r="AH14" s="29">
        <v>74.656000000000006</v>
      </c>
      <c r="AI14" s="29">
        <v>74.631</v>
      </c>
      <c r="AJ14" s="29">
        <v>74.587000000000003</v>
      </c>
      <c r="AK14" s="21"/>
      <c r="AL14" s="21"/>
      <c r="AM14" s="3"/>
      <c r="AN14" s="3"/>
    </row>
    <row r="15" spans="2:40" ht="18" customHeight="1" x14ac:dyDescent="0.3">
      <c r="B15" s="7" t="s">
        <v>6</v>
      </c>
      <c r="C15" s="7" t="s">
        <v>162</v>
      </c>
      <c r="D15" s="22" t="s">
        <v>163</v>
      </c>
      <c r="E15" s="23">
        <v>379</v>
      </c>
      <c r="F15" s="23">
        <v>578</v>
      </c>
      <c r="G15" s="23">
        <v>934</v>
      </c>
      <c r="H15" s="23">
        <v>1000</v>
      </c>
      <c r="I15" s="23">
        <v>981</v>
      </c>
      <c r="J15" s="23">
        <v>1387</v>
      </c>
      <c r="K15" s="23">
        <v>1611</v>
      </c>
      <c r="L15" s="23">
        <v>1672</v>
      </c>
      <c r="M15" s="23">
        <v>2215</v>
      </c>
      <c r="N15" s="23">
        <v>2692</v>
      </c>
      <c r="O15" s="23">
        <v>2913</v>
      </c>
      <c r="P15" s="23">
        <v>3212</v>
      </c>
      <c r="Q15" s="23">
        <v>3228</v>
      </c>
      <c r="R15" s="23">
        <v>620</v>
      </c>
      <c r="S15" s="23">
        <v>737</v>
      </c>
      <c r="T15" s="23">
        <v>1485</v>
      </c>
      <c r="U15" s="23">
        <v>2313</v>
      </c>
      <c r="V15" s="23">
        <v>6937</v>
      </c>
      <c r="W15" s="23">
        <v>10578</v>
      </c>
      <c r="X15" s="23">
        <v>13756</v>
      </c>
      <c r="Y15" s="23">
        <v>17049</v>
      </c>
      <c r="Z15" s="23">
        <v>18783</v>
      </c>
      <c r="AA15" s="23">
        <v>22024</v>
      </c>
      <c r="AB15" s="24">
        <v>24195</v>
      </c>
      <c r="AC15" s="39">
        <v>21798</v>
      </c>
      <c r="AD15" s="25">
        <v>51894.911111111112</v>
      </c>
      <c r="AE15" s="25">
        <v>57304.045454545456</v>
      </c>
      <c r="AF15" s="25">
        <v>64461.409090909088</v>
      </c>
      <c r="AG15" s="25">
        <v>73001.2</v>
      </c>
      <c r="AH15" s="25">
        <v>76024.68421052632</v>
      </c>
      <c r="AI15" s="25">
        <v>79803.631578947374</v>
      </c>
      <c r="AJ15" s="25">
        <v>84434.236842105267</v>
      </c>
      <c r="AK15" s="21"/>
      <c r="AL15" s="21"/>
      <c r="AM15" s="3"/>
      <c r="AN15" s="3"/>
    </row>
    <row r="16" spans="2:40" ht="18" customHeight="1" x14ac:dyDescent="0.3">
      <c r="B16" s="7"/>
      <c r="C16" s="7"/>
      <c r="D16" s="22" t="s">
        <v>164</v>
      </c>
      <c r="E16" s="26">
        <v>17.072072072072071</v>
      </c>
      <c r="F16" s="26">
        <v>22.411787514540517</v>
      </c>
      <c r="G16" s="26">
        <v>30.988719309887191</v>
      </c>
      <c r="H16" s="26">
        <v>32.206119162640903</v>
      </c>
      <c r="I16" s="26">
        <v>31.850649350649352</v>
      </c>
      <c r="J16" s="26">
        <v>35.87687532333161</v>
      </c>
      <c r="K16" s="26">
        <v>34.088023698688104</v>
      </c>
      <c r="L16" s="26">
        <v>33.419948031181292</v>
      </c>
      <c r="M16" s="26">
        <v>39.127362656774423</v>
      </c>
      <c r="N16" s="26">
        <v>41.370831412325188</v>
      </c>
      <c r="O16" s="26">
        <v>41.010840489933834</v>
      </c>
      <c r="P16" s="26">
        <v>42.025382703127043</v>
      </c>
      <c r="Q16" s="26">
        <v>38.947876447876453</v>
      </c>
      <c r="R16" s="26">
        <v>9.2482100238663492</v>
      </c>
      <c r="S16" s="26">
        <v>12.42623503625021</v>
      </c>
      <c r="T16" s="26">
        <v>24.541398116013884</v>
      </c>
      <c r="U16" s="26">
        <v>32.160734149054505</v>
      </c>
      <c r="V16" s="26">
        <v>51.358554823424896</v>
      </c>
      <c r="W16" s="26">
        <v>58.377483443708613</v>
      </c>
      <c r="X16" s="26">
        <v>62.235895579785549</v>
      </c>
      <c r="Y16" s="26">
        <v>65.462294578405775</v>
      </c>
      <c r="Z16" s="26">
        <v>62.526631158455395</v>
      </c>
      <c r="AA16" s="26">
        <v>62.778632917165503</v>
      </c>
      <c r="AB16" s="27">
        <v>61.51636114006763</v>
      </c>
      <c r="AC16" s="28">
        <v>49.471199673187783</v>
      </c>
      <c r="AD16" s="29">
        <v>65.892591456627244</v>
      </c>
      <c r="AE16" s="29">
        <v>66.56328110413537</v>
      </c>
      <c r="AF16" s="29">
        <v>66.390272516965283</v>
      </c>
      <c r="AG16" s="29">
        <v>66.950224740032382</v>
      </c>
      <c r="AH16" s="29">
        <v>66.59460740380112</v>
      </c>
      <c r="AI16" s="29">
        <v>66.479262895061638</v>
      </c>
      <c r="AJ16" s="29">
        <v>66.379734998360433</v>
      </c>
      <c r="AK16" s="21"/>
      <c r="AL16" s="21"/>
      <c r="AM16" s="3"/>
      <c r="AN16" s="3"/>
    </row>
    <row r="17" spans="2:40" ht="18" customHeight="1" x14ac:dyDescent="0.3">
      <c r="B17" s="7" t="s">
        <v>165</v>
      </c>
      <c r="C17" s="7" t="s">
        <v>166</v>
      </c>
      <c r="D17" s="22" t="s">
        <v>165</v>
      </c>
      <c r="E17" s="23">
        <v>497</v>
      </c>
      <c r="F17" s="23">
        <v>698</v>
      </c>
      <c r="G17" s="23">
        <v>1054</v>
      </c>
      <c r="H17" s="23">
        <v>1137</v>
      </c>
      <c r="I17" s="23">
        <v>1119</v>
      </c>
      <c r="J17" s="23">
        <v>1826</v>
      </c>
      <c r="K17" s="23">
        <v>1947</v>
      </c>
      <c r="L17" s="23">
        <v>2000</v>
      </c>
      <c r="M17" s="23">
        <v>2535</v>
      </c>
      <c r="N17" s="23">
        <v>3020</v>
      </c>
      <c r="O17" s="23">
        <v>3255</v>
      </c>
      <c r="P17" s="23">
        <v>3564</v>
      </c>
      <c r="Q17" s="23">
        <v>3606</v>
      </c>
      <c r="R17" s="23">
        <v>1045</v>
      </c>
      <c r="S17" s="23">
        <v>1192</v>
      </c>
      <c r="T17" s="23">
        <v>1965</v>
      </c>
      <c r="U17" s="23">
        <v>2756</v>
      </c>
      <c r="V17" s="23">
        <v>7369</v>
      </c>
      <c r="W17" s="23">
        <v>11019</v>
      </c>
      <c r="X17" s="23">
        <v>14217</v>
      </c>
      <c r="Y17" s="23">
        <v>17539</v>
      </c>
      <c r="Z17" s="23">
        <v>19300</v>
      </c>
      <c r="AA17" s="23">
        <v>22594</v>
      </c>
      <c r="AB17" s="24">
        <v>24838</v>
      </c>
      <c r="AC17" s="39">
        <v>22510</v>
      </c>
      <c r="AD17" s="25">
        <v>52851.125</v>
      </c>
      <c r="AE17" s="25">
        <v>58584.666666666664</v>
      </c>
      <c r="AF17" s="25">
        <v>65948.25</v>
      </c>
      <c r="AG17" s="25">
        <v>75435.666666666672</v>
      </c>
      <c r="AH17" s="25">
        <v>78347.714285714275</v>
      </c>
      <c r="AI17" s="25">
        <v>82121.190476190473</v>
      </c>
      <c r="AJ17" s="25">
        <v>86783.047619047618</v>
      </c>
      <c r="AK17" s="21"/>
      <c r="AL17" s="21"/>
      <c r="AM17" s="3"/>
      <c r="AN17" s="3"/>
    </row>
    <row r="18" spans="2:40" ht="18" customHeight="1" x14ac:dyDescent="0.3">
      <c r="B18" s="7"/>
      <c r="C18" s="7"/>
      <c r="D18" s="22" t="s">
        <v>167</v>
      </c>
      <c r="E18" s="26">
        <v>22.387387387387385</v>
      </c>
      <c r="F18" s="26">
        <v>27.064753780535089</v>
      </c>
      <c r="G18" s="26">
        <v>34.970139349701398</v>
      </c>
      <c r="H18" s="26">
        <v>36.618357487922701</v>
      </c>
      <c r="I18" s="26">
        <v>36.331168831168831</v>
      </c>
      <c r="J18" s="26">
        <v>47.232281427832383</v>
      </c>
      <c r="K18" s="26">
        <v>41.197630131189165</v>
      </c>
      <c r="L18" s="26">
        <v>39.976014391365183</v>
      </c>
      <c r="M18" s="26">
        <v>44.780074191838899</v>
      </c>
      <c r="N18" s="26">
        <v>46.411556785000769</v>
      </c>
      <c r="O18" s="26">
        <v>45.82570744755737</v>
      </c>
      <c r="P18" s="26">
        <v>46.630904095250557</v>
      </c>
      <c r="Q18" s="26">
        <v>43.508687258687253</v>
      </c>
      <c r="R18" s="26">
        <v>15.587708830548927</v>
      </c>
      <c r="S18" s="26">
        <v>20.097791266228292</v>
      </c>
      <c r="T18" s="26">
        <v>32.473971244422408</v>
      </c>
      <c r="U18" s="26">
        <v>38.320355951056726</v>
      </c>
      <c r="V18" s="26">
        <v>54.556896424076406</v>
      </c>
      <c r="W18" s="26">
        <v>60.811258278145694</v>
      </c>
      <c r="X18" s="26">
        <v>64.321585305162202</v>
      </c>
      <c r="Y18" s="26">
        <v>67.343726002150206</v>
      </c>
      <c r="Z18" s="26">
        <v>64.247669773635153</v>
      </c>
      <c r="AA18" s="26">
        <v>64.403397753833886</v>
      </c>
      <c r="AB18" s="27">
        <v>63.151203884976226</v>
      </c>
      <c r="AC18" s="28">
        <v>51.087104534519547</v>
      </c>
      <c r="AD18" s="29">
        <v>67.106726133355082</v>
      </c>
      <c r="AE18" s="29">
        <v>68.050826164072859</v>
      </c>
      <c r="AF18" s="29">
        <v>67.921603813256155</v>
      </c>
      <c r="AG18" s="29">
        <v>69.182901606377754</v>
      </c>
      <c r="AH18" s="29">
        <v>68.629489593064392</v>
      </c>
      <c r="AI18" s="29">
        <v>68.409871868065537</v>
      </c>
      <c r="AJ18" s="29">
        <v>68.22630154252532</v>
      </c>
      <c r="AK18" s="21"/>
      <c r="AL18" s="21"/>
      <c r="AM18" s="3"/>
      <c r="AN18" s="3"/>
    </row>
    <row r="19" spans="2:40" ht="18" customHeight="1" x14ac:dyDescent="0.3">
      <c r="B19" s="7" t="s">
        <v>33</v>
      </c>
      <c r="C19" s="7" t="s">
        <v>34</v>
      </c>
      <c r="D19" s="22" t="s">
        <v>168</v>
      </c>
      <c r="E19" s="26">
        <v>33.541800000000002</v>
      </c>
      <c r="F19" s="26">
        <v>24.888300000000001</v>
      </c>
      <c r="G19" s="26">
        <v>21.2593</v>
      </c>
      <c r="H19" s="26">
        <v>26.296800000000001</v>
      </c>
      <c r="I19" s="26">
        <v>29.376300000000001</v>
      </c>
      <c r="J19" s="26">
        <v>33.242699999999999</v>
      </c>
      <c r="K19" s="26">
        <v>34.933399999999999</v>
      </c>
      <c r="L19" s="26">
        <v>36.225700000000003</v>
      </c>
      <c r="M19" s="26">
        <v>40.069099999999999</v>
      </c>
      <c r="N19" s="26">
        <v>44.025500000000001</v>
      </c>
      <c r="O19" s="26">
        <v>45.134599999999999</v>
      </c>
      <c r="P19" s="26">
        <v>47.554699999999997</v>
      </c>
      <c r="Q19" s="26">
        <v>49.295900000000003</v>
      </c>
      <c r="R19" s="26">
        <v>41.3339</v>
      </c>
      <c r="S19" s="26">
        <v>33.100299999999997</v>
      </c>
      <c r="T19" s="26">
        <v>24.488900000000001</v>
      </c>
      <c r="U19" s="26">
        <v>20.971499999999999</v>
      </c>
      <c r="V19" s="26">
        <v>42.091000000000001</v>
      </c>
      <c r="W19" s="26">
        <v>71.047899999999998</v>
      </c>
      <c r="X19" s="26">
        <v>92.231800000000007</v>
      </c>
      <c r="Y19" s="26">
        <v>116.0382</v>
      </c>
      <c r="Z19" s="26">
        <v>123.95140000000001</v>
      </c>
      <c r="AA19" s="26">
        <v>127.1949</v>
      </c>
      <c r="AB19" s="27">
        <v>119.31780000000001</v>
      </c>
      <c r="AC19" s="28">
        <v>115.94199999999999</v>
      </c>
      <c r="AD19" s="29">
        <v>90.558000000000007</v>
      </c>
      <c r="AE19" s="29">
        <v>87.481000000000009</v>
      </c>
      <c r="AF19" s="29">
        <v>83.682000000000002</v>
      </c>
      <c r="AG19" s="29">
        <v>81.713999999999999</v>
      </c>
      <c r="AH19" s="29">
        <v>76.938000000000002</v>
      </c>
      <c r="AI19" s="29">
        <v>69.701000000000008</v>
      </c>
      <c r="AJ19" s="29">
        <v>64.373999999999995</v>
      </c>
      <c r="AK19" s="21"/>
      <c r="AL19" s="21"/>
      <c r="AM19" s="3"/>
      <c r="AN19" s="3"/>
    </row>
    <row r="20" spans="2:40" ht="18" customHeight="1" x14ac:dyDescent="0.3">
      <c r="B20" s="7" t="s">
        <v>7</v>
      </c>
      <c r="C20" s="7" t="s">
        <v>169</v>
      </c>
      <c r="D20" s="22" t="s">
        <v>170</v>
      </c>
      <c r="E20" s="23">
        <v>409.72359999999998</v>
      </c>
      <c r="F20" s="23">
        <v>558.36360000000002</v>
      </c>
      <c r="G20" s="23">
        <v>905.21209999999996</v>
      </c>
      <c r="H20" s="23">
        <v>959.65219999999999</v>
      </c>
      <c r="I20" s="23">
        <v>926.11500000000001</v>
      </c>
      <c r="J20" s="23">
        <v>1239.7013999999999</v>
      </c>
      <c r="K20" s="23">
        <v>1511.5971</v>
      </c>
      <c r="L20" s="23">
        <v>1592.8885</v>
      </c>
      <c r="M20" s="23">
        <v>2041.4297999999999</v>
      </c>
      <c r="N20" s="23">
        <v>2571.9688999999998</v>
      </c>
      <c r="O20" s="23">
        <v>2624.7536</v>
      </c>
      <c r="P20" s="23">
        <v>3106.19</v>
      </c>
      <c r="Q20" s="23">
        <v>2811.8361</v>
      </c>
      <c r="R20" s="23">
        <v>756.93650000000002</v>
      </c>
      <c r="S20" s="23">
        <v>796.92460000000005</v>
      </c>
      <c r="T20" s="23">
        <v>1598.9489000000001</v>
      </c>
      <c r="U20" s="23">
        <v>2178.1563999999998</v>
      </c>
      <c r="V20" s="23">
        <v>6233.2458999999999</v>
      </c>
      <c r="W20" s="23">
        <v>9390.6941999999999</v>
      </c>
      <c r="X20" s="23">
        <v>12209.656000000001</v>
      </c>
      <c r="Y20" s="23">
        <v>14904.426100000001</v>
      </c>
      <c r="Z20" s="23">
        <v>16582.358100000001</v>
      </c>
      <c r="AA20" s="23">
        <v>19369.3341</v>
      </c>
      <c r="AB20" s="24">
        <v>22109.716899999999</v>
      </c>
      <c r="AC20" s="39">
        <v>19031.353299999999</v>
      </c>
      <c r="AD20" s="25">
        <v>43071.548000000003</v>
      </c>
      <c r="AE20" s="25">
        <v>47512.341</v>
      </c>
      <c r="AF20" s="25">
        <v>53239.756000000001</v>
      </c>
      <c r="AG20" s="25">
        <v>60378.429000000004</v>
      </c>
      <c r="AH20" s="25">
        <v>63359.806000000004</v>
      </c>
      <c r="AI20" s="25">
        <v>66465.332999999999</v>
      </c>
      <c r="AJ20" s="25">
        <v>70396.694000000003</v>
      </c>
      <c r="AK20" s="21"/>
      <c r="AL20" s="21"/>
      <c r="AM20" s="3"/>
      <c r="AN20" s="3"/>
    </row>
    <row r="21" spans="2:40" ht="18" customHeight="1" thickBot="1" x14ac:dyDescent="0.35">
      <c r="B21" s="9"/>
      <c r="C21" s="9"/>
      <c r="D21" s="30" t="s">
        <v>171</v>
      </c>
      <c r="E21" s="31">
        <v>18.456018018018018</v>
      </c>
      <c r="F21" s="31">
        <v>21.650391624660724</v>
      </c>
      <c r="G21" s="31">
        <v>30.033579960185797</v>
      </c>
      <c r="H21" s="31">
        <v>30.906673107890498</v>
      </c>
      <c r="I21" s="31">
        <v>30.068668831168832</v>
      </c>
      <c r="J21" s="31">
        <v>32.066771857216757</v>
      </c>
      <c r="K21" s="31">
        <v>31.984703766398642</v>
      </c>
      <c r="L21" s="31">
        <v>31.838666799920045</v>
      </c>
      <c r="M21" s="31">
        <v>36.061293057763642</v>
      </c>
      <c r="N21" s="31">
        <v>39.526185646227134</v>
      </c>
      <c r="O21" s="31">
        <v>36.952746726735178</v>
      </c>
      <c r="P21" s="31">
        <v>40.640978673295827</v>
      </c>
      <c r="Q21" s="31">
        <v>33.926593870656369</v>
      </c>
      <c r="R21" s="31">
        <v>11.290818914081147</v>
      </c>
      <c r="S21" s="31">
        <v>13.43659753835778</v>
      </c>
      <c r="T21" s="31">
        <v>26.42453974549661</v>
      </c>
      <c r="U21" s="31">
        <v>30.285823136818685</v>
      </c>
      <c r="V21" s="31">
        <v>46.148263122825199</v>
      </c>
      <c r="W21" s="31">
        <v>51.825023178807953</v>
      </c>
      <c r="X21" s="31">
        <v>55.239813599963803</v>
      </c>
      <c r="Y21" s="31">
        <v>57.22786860697282</v>
      </c>
      <c r="Z21" s="31">
        <v>55.200925765645813</v>
      </c>
      <c r="AA21" s="31">
        <v>55.211601676073194</v>
      </c>
      <c r="AB21" s="32">
        <v>56.214479418270571</v>
      </c>
      <c r="AC21" s="33">
        <v>43.19221392583178</v>
      </c>
      <c r="AD21" s="34">
        <v>54.689291396837014</v>
      </c>
      <c r="AE21" s="34">
        <v>55.189424844484094</v>
      </c>
      <c r="AF21" s="34">
        <v>54.832836567254283</v>
      </c>
      <c r="AG21" s="34">
        <v>55.373738938539219</v>
      </c>
      <c r="AH21" s="34">
        <v>55.500676517993156</v>
      </c>
      <c r="AI21" s="34">
        <v>55.367985873470673</v>
      </c>
      <c r="AJ21" s="34">
        <v>55.343828134778647</v>
      </c>
      <c r="AK21" s="35"/>
      <c r="AL21" s="35"/>
      <c r="AM21" s="3"/>
      <c r="AN21" s="3"/>
    </row>
    <row r="22" spans="2:40" ht="18" customHeight="1" thickTop="1" thickBot="1" x14ac:dyDescent="0.35">
      <c r="B22" s="9"/>
      <c r="C22" s="9"/>
      <c r="D22" s="12" t="s">
        <v>134</v>
      </c>
      <c r="E22" s="13" t="s">
        <v>68</v>
      </c>
      <c r="F22" s="13" t="s">
        <v>69</v>
      </c>
      <c r="G22" s="13" t="s">
        <v>70</v>
      </c>
      <c r="H22" s="13" t="s">
        <v>71</v>
      </c>
      <c r="I22" s="13" t="s">
        <v>72</v>
      </c>
      <c r="J22" s="13" t="s">
        <v>73</v>
      </c>
      <c r="K22" s="13" t="s">
        <v>74</v>
      </c>
      <c r="L22" s="13" t="s">
        <v>75</v>
      </c>
      <c r="M22" s="13" t="s">
        <v>76</v>
      </c>
      <c r="N22" s="13" t="s">
        <v>77</v>
      </c>
      <c r="O22" s="13" t="s">
        <v>78</v>
      </c>
      <c r="P22" s="13" t="s">
        <v>79</v>
      </c>
      <c r="Q22" s="13" t="s">
        <v>80</v>
      </c>
      <c r="R22" s="13" t="s">
        <v>81</v>
      </c>
      <c r="S22" s="13" t="s">
        <v>82</v>
      </c>
      <c r="T22" s="13" t="s">
        <v>83</v>
      </c>
      <c r="U22" s="13" t="s">
        <v>84</v>
      </c>
      <c r="V22" s="13" t="s">
        <v>85</v>
      </c>
      <c r="W22" s="13" t="s">
        <v>86</v>
      </c>
      <c r="X22" s="13" t="s">
        <v>87</v>
      </c>
      <c r="Y22" s="13" t="s">
        <v>88</v>
      </c>
      <c r="Z22" s="13" t="s">
        <v>89</v>
      </c>
      <c r="AA22" s="13" t="s">
        <v>45</v>
      </c>
      <c r="AB22" s="13" t="s">
        <v>43</v>
      </c>
      <c r="AC22" s="56" t="s">
        <v>41</v>
      </c>
      <c r="AD22" s="14" t="s">
        <v>152</v>
      </c>
      <c r="AE22" s="14" t="s">
        <v>153</v>
      </c>
      <c r="AF22" s="14" t="s">
        <v>154</v>
      </c>
      <c r="AG22" s="14" t="s">
        <v>100</v>
      </c>
      <c r="AH22" s="14" t="s">
        <v>102</v>
      </c>
      <c r="AI22" s="14" t="s">
        <v>101</v>
      </c>
      <c r="AJ22" s="14" t="s">
        <v>103</v>
      </c>
      <c r="AK22" s="15"/>
      <c r="AL22" s="15"/>
      <c r="AM22" s="3"/>
      <c r="AN22" s="3"/>
    </row>
    <row r="23" spans="2:40" ht="18" customHeight="1" x14ac:dyDescent="0.3">
      <c r="B23" s="9"/>
      <c r="C23" s="9"/>
      <c r="D23" s="22" t="s">
        <v>1</v>
      </c>
      <c r="E23" s="57"/>
      <c r="F23" s="47">
        <v>16.171171171171174</v>
      </c>
      <c r="G23" s="47">
        <v>16.867002714230317</v>
      </c>
      <c r="H23" s="47">
        <v>3.0192435301924281</v>
      </c>
      <c r="I23" s="47">
        <v>-0.80515297906602612</v>
      </c>
      <c r="J23" s="47">
        <v>25.519480519480521</v>
      </c>
      <c r="K23" s="47">
        <v>22.245214692188298</v>
      </c>
      <c r="L23" s="47">
        <v>5.8611933982225972</v>
      </c>
      <c r="M23" s="47">
        <v>13.152108734759139</v>
      </c>
      <c r="N23" s="47">
        <v>14.944356120826718</v>
      </c>
      <c r="O23" s="47">
        <v>9.1593668357153888</v>
      </c>
      <c r="P23" s="47">
        <v>7.6024215120371608</v>
      </c>
      <c r="Q23" s="47">
        <v>8.4390945963626951</v>
      </c>
      <c r="R23" s="47">
        <v>-19.111969111969106</v>
      </c>
      <c r="S23" s="47">
        <v>-11.530429594272073</v>
      </c>
      <c r="T23" s="47">
        <v>2.0232675771370667</v>
      </c>
      <c r="U23" s="47">
        <v>18.856387373987758</v>
      </c>
      <c r="V23" s="47">
        <v>87.805895439377096</v>
      </c>
      <c r="W23" s="47">
        <v>34.152661582882949</v>
      </c>
      <c r="X23" s="47">
        <v>21.981236203090514</v>
      </c>
      <c r="Y23" s="47">
        <v>17.830158801972583</v>
      </c>
      <c r="Z23" s="47">
        <v>15.343265243434189</v>
      </c>
      <c r="AA23" s="47">
        <v>16.784287616511318</v>
      </c>
      <c r="AB23" s="48">
        <v>12.111624194743742</v>
      </c>
      <c r="AC23" s="49">
        <v>12.028679667437903</v>
      </c>
      <c r="AD23" s="36">
        <v>78.740915578553455</v>
      </c>
      <c r="AE23" s="36">
        <v>9.3106248309163817</v>
      </c>
      <c r="AF23" s="36">
        <v>12.783295973268793</v>
      </c>
      <c r="AG23" s="36">
        <v>12.300739619675083</v>
      </c>
      <c r="AH23" s="36">
        <v>4.6978110755769631</v>
      </c>
      <c r="AI23" s="36">
        <v>5.1528135845771983</v>
      </c>
      <c r="AJ23" s="36">
        <v>5.9611366989431369</v>
      </c>
      <c r="AK23" s="35"/>
      <c r="AL23" s="35"/>
      <c r="AM23" s="3"/>
      <c r="AN23" s="3"/>
    </row>
    <row r="24" spans="2:40" ht="18" customHeight="1" x14ac:dyDescent="0.3">
      <c r="B24" s="9"/>
      <c r="C24" s="9"/>
      <c r="D24" s="22" t="s">
        <v>159</v>
      </c>
      <c r="E24" s="58"/>
      <c r="F24" s="37">
        <v>18.147013782542111</v>
      </c>
      <c r="G24" s="37">
        <v>24.173687621516528</v>
      </c>
      <c r="H24" s="37">
        <v>5.323590814196244</v>
      </c>
      <c r="I24" s="37">
        <v>-0.64420218037660737</v>
      </c>
      <c r="J24" s="37">
        <v>26.53366583541148</v>
      </c>
      <c r="K24" s="37">
        <v>20.890815924320073</v>
      </c>
      <c r="L24" s="37">
        <v>5.9667427453537591</v>
      </c>
      <c r="M24" s="37">
        <v>14.492307692307694</v>
      </c>
      <c r="N24" s="37">
        <v>15.694705724267678</v>
      </c>
      <c r="O24" s="37">
        <v>9.570267131242737</v>
      </c>
      <c r="P24" s="37">
        <v>7.8015687937248224</v>
      </c>
      <c r="Q24" s="37">
        <v>6.8043264503441447</v>
      </c>
      <c r="R24" s="37">
        <v>-44.098692690112316</v>
      </c>
      <c r="S24" s="37">
        <v>8.5968379446640384</v>
      </c>
      <c r="T24" s="37">
        <v>20.382165605095537</v>
      </c>
      <c r="U24" s="37">
        <v>20.105820105820115</v>
      </c>
      <c r="V24" s="37">
        <v>100.98594503880847</v>
      </c>
      <c r="W24" s="37">
        <v>41.373551821313015</v>
      </c>
      <c r="X24" s="37">
        <v>24.872646733111846</v>
      </c>
      <c r="Y24" s="37">
        <v>21.349178195577622</v>
      </c>
      <c r="Z24" s="37">
        <v>10.557856272838006</v>
      </c>
      <c r="AA24" s="37">
        <v>15.776485104882788</v>
      </c>
      <c r="AB24" s="38">
        <v>9.7784713763702911</v>
      </c>
      <c r="AC24" s="39">
        <v>-7.1079366180090808</v>
      </c>
      <c r="AD24" s="36">
        <v>120.55202657774791</v>
      </c>
      <c r="AE24" s="36">
        <v>9.006118118714479</v>
      </c>
      <c r="AF24" s="36">
        <v>12.558685108090861</v>
      </c>
      <c r="AG24" s="36">
        <v>12.401507680350576</v>
      </c>
      <c r="AH24" s="36">
        <v>4.5871383375697183</v>
      </c>
      <c r="AI24" s="36">
        <v>5.1176011389651332</v>
      </c>
      <c r="AJ24" s="36">
        <v>5.8986654736513433</v>
      </c>
      <c r="AK24" s="35"/>
      <c r="AL24" s="35"/>
      <c r="AM24" s="3"/>
      <c r="AN24" s="3"/>
    </row>
    <row r="25" spans="2:40" ht="18" customHeight="1" x14ac:dyDescent="0.3">
      <c r="B25" s="9"/>
      <c r="C25" s="9"/>
      <c r="D25" s="22" t="s">
        <v>163</v>
      </c>
      <c r="E25" s="58"/>
      <c r="F25" s="37">
        <v>52.506596306068602</v>
      </c>
      <c r="G25" s="37">
        <v>61.591695501730115</v>
      </c>
      <c r="H25" s="37">
        <v>7.0663811563169254</v>
      </c>
      <c r="I25" s="37">
        <v>-1.9000000000000017</v>
      </c>
      <c r="J25" s="37">
        <v>41.386340468909275</v>
      </c>
      <c r="K25" s="37">
        <v>16.149963950973323</v>
      </c>
      <c r="L25" s="37">
        <v>3.7864680322780897</v>
      </c>
      <c r="M25" s="37">
        <v>32.476076555023916</v>
      </c>
      <c r="N25" s="37">
        <v>21.534988713318292</v>
      </c>
      <c r="O25" s="37">
        <v>8.2095096582466489</v>
      </c>
      <c r="P25" s="37">
        <v>10.264332303467217</v>
      </c>
      <c r="Q25" s="37">
        <v>0.49813200498132204</v>
      </c>
      <c r="R25" s="37">
        <v>-80.793060718711274</v>
      </c>
      <c r="S25" s="37">
        <v>18.870967741935484</v>
      </c>
      <c r="T25" s="37">
        <v>101.49253731343282</v>
      </c>
      <c r="U25" s="37">
        <v>55.757575757575765</v>
      </c>
      <c r="V25" s="37">
        <v>199.91353220925205</v>
      </c>
      <c r="W25" s="37">
        <v>52.486665705636447</v>
      </c>
      <c r="X25" s="37">
        <v>30.043486481376448</v>
      </c>
      <c r="Y25" s="37">
        <v>23.938644954928769</v>
      </c>
      <c r="Z25" s="37">
        <v>10.170684497624505</v>
      </c>
      <c r="AA25" s="37">
        <v>17.254964595644996</v>
      </c>
      <c r="AB25" s="40">
        <v>9.8574282600799137</v>
      </c>
      <c r="AC25" s="41">
        <v>-9.907005579665217</v>
      </c>
      <c r="AD25" s="36">
        <v>138.07189242642036</v>
      </c>
      <c r="AE25" s="36">
        <v>10.423246186611546</v>
      </c>
      <c r="AF25" s="36">
        <v>12.490154193460867</v>
      </c>
      <c r="AG25" s="36">
        <v>13.247912246298178</v>
      </c>
      <c r="AH25" s="36">
        <v>4.1416911099082299</v>
      </c>
      <c r="AI25" s="36">
        <v>4.970684729128827</v>
      </c>
      <c r="AJ25" s="36">
        <v>5.8024994245744033</v>
      </c>
      <c r="AK25" s="35"/>
      <c r="AL25" s="35"/>
      <c r="AM25" s="3"/>
      <c r="AN25" s="3"/>
    </row>
    <row r="26" spans="2:40" ht="18" customHeight="1" x14ac:dyDescent="0.3">
      <c r="B26" s="9"/>
      <c r="C26" s="9"/>
      <c r="D26" s="22" t="s">
        <v>165</v>
      </c>
      <c r="E26" s="58"/>
      <c r="F26" s="37">
        <v>40.442655935613693</v>
      </c>
      <c r="G26" s="37">
        <v>51.0028653295129</v>
      </c>
      <c r="H26" s="37">
        <v>7.8747628083491561</v>
      </c>
      <c r="I26" s="37">
        <v>-1.5831134564643801</v>
      </c>
      <c r="J26" s="37">
        <v>63.181411974977664</v>
      </c>
      <c r="K26" s="37">
        <v>6.6265060240963791</v>
      </c>
      <c r="L26" s="37">
        <v>2.7221366204416952</v>
      </c>
      <c r="M26" s="37">
        <v>26.750000000000007</v>
      </c>
      <c r="N26" s="37">
        <v>19.132149901380679</v>
      </c>
      <c r="O26" s="37">
        <v>7.781456953642385</v>
      </c>
      <c r="P26" s="37">
        <v>9.4930875576036975</v>
      </c>
      <c r="Q26" s="37">
        <v>1.1784511784511675</v>
      </c>
      <c r="R26" s="37">
        <v>-71.020521353300055</v>
      </c>
      <c r="S26" s="37">
        <v>14.066985645933006</v>
      </c>
      <c r="T26" s="37">
        <v>64.848993288590592</v>
      </c>
      <c r="U26" s="37">
        <v>40.254452926208664</v>
      </c>
      <c r="V26" s="37">
        <v>167.3802612481858</v>
      </c>
      <c r="W26" s="37">
        <v>49.531822499660748</v>
      </c>
      <c r="X26" s="37">
        <v>29.022597331881308</v>
      </c>
      <c r="Y26" s="37">
        <v>23.366392347189979</v>
      </c>
      <c r="Z26" s="37">
        <v>10.040481213296083</v>
      </c>
      <c r="AA26" s="37">
        <v>17.067357512953365</v>
      </c>
      <c r="AB26" s="40">
        <v>9.9318403115871376</v>
      </c>
      <c r="AC26" s="41">
        <v>-9.3727353249053902</v>
      </c>
      <c r="AD26" s="36">
        <v>134.78953798311863</v>
      </c>
      <c r="AE26" s="36">
        <v>10.848476104655603</v>
      </c>
      <c r="AF26" s="36">
        <v>12.56913071679735</v>
      </c>
      <c r="AG26" s="36">
        <v>14.386153789777101</v>
      </c>
      <c r="AH26" s="36">
        <v>3.860306069694186</v>
      </c>
      <c r="AI26" s="36">
        <v>4.8163194355808292</v>
      </c>
      <c r="AJ26" s="36">
        <v>5.6768017071169519</v>
      </c>
      <c r="AK26" s="35"/>
      <c r="AL26" s="35"/>
      <c r="AM26" s="3"/>
      <c r="AN26" s="3"/>
    </row>
    <row r="27" spans="2:40" ht="18" customHeight="1" thickBot="1" x14ac:dyDescent="0.35">
      <c r="B27" s="9"/>
      <c r="C27" s="9"/>
      <c r="D27" s="42" t="s">
        <v>170</v>
      </c>
      <c r="E27" s="59"/>
      <c r="F27" s="60">
        <v>36.278115295286881</v>
      </c>
      <c r="G27" s="60">
        <v>62.11875201033876</v>
      </c>
      <c r="H27" s="60">
        <v>6.0140711773516875</v>
      </c>
      <c r="I27" s="60">
        <v>-3.4947244428762847</v>
      </c>
      <c r="J27" s="60">
        <v>33.86041690286843</v>
      </c>
      <c r="K27" s="60">
        <v>21.932354032995359</v>
      </c>
      <c r="L27" s="60">
        <v>5.3778483697805468</v>
      </c>
      <c r="M27" s="60">
        <v>28.158989157119272</v>
      </c>
      <c r="N27" s="60">
        <v>25.988603673758458</v>
      </c>
      <c r="O27" s="60">
        <v>2.052307086605909</v>
      </c>
      <c r="P27" s="60">
        <v>18.342156002757747</v>
      </c>
      <c r="Q27" s="60">
        <v>-9.4763649358217013</v>
      </c>
      <c r="R27" s="60">
        <v>-73.080347748576102</v>
      </c>
      <c r="S27" s="60">
        <v>5.2828870057131549</v>
      </c>
      <c r="T27" s="60">
        <v>100.63992252215579</v>
      </c>
      <c r="U27" s="60">
        <v>36.224265828632781</v>
      </c>
      <c r="V27" s="60">
        <v>186.17072217587315</v>
      </c>
      <c r="W27" s="60">
        <v>50.654961326008333</v>
      </c>
      <c r="X27" s="60">
        <v>30.018673166888998</v>
      </c>
      <c r="Y27" s="60">
        <v>22.070811004011894</v>
      </c>
      <c r="Z27" s="60">
        <v>11.257944376670782</v>
      </c>
      <c r="AA27" s="60">
        <v>16.806873806446141</v>
      </c>
      <c r="AB27" s="61">
        <v>14.148048589858341</v>
      </c>
      <c r="AC27" s="62">
        <v>-13.923125356706855</v>
      </c>
      <c r="AD27" s="43">
        <v>126.31889241423524</v>
      </c>
      <c r="AE27" s="43">
        <v>10.310270250792941</v>
      </c>
      <c r="AF27" s="43">
        <v>12.054583881690872</v>
      </c>
      <c r="AG27" s="43">
        <v>13.408538160843575</v>
      </c>
      <c r="AH27" s="43">
        <v>4.9378181071918936</v>
      </c>
      <c r="AI27" s="43">
        <v>4.9014149443576072</v>
      </c>
      <c r="AJ27" s="43">
        <v>5.9149045412892232</v>
      </c>
      <c r="AK27" s="35"/>
      <c r="AL27" s="35"/>
      <c r="AM27" s="3"/>
      <c r="AN27" s="3"/>
    </row>
    <row r="28" spans="2:40" ht="18" customHeight="1" thickTop="1" thickBot="1" x14ac:dyDescent="0.35">
      <c r="B28" s="9"/>
      <c r="C28" s="9"/>
      <c r="D28" s="12" t="s">
        <v>136</v>
      </c>
      <c r="E28" s="13" t="s">
        <v>68</v>
      </c>
      <c r="F28" s="13" t="s">
        <v>69</v>
      </c>
      <c r="G28" s="13" t="s">
        <v>70</v>
      </c>
      <c r="H28" s="13" t="s">
        <v>71</v>
      </c>
      <c r="I28" s="13" t="s">
        <v>72</v>
      </c>
      <c r="J28" s="13" t="s">
        <v>73</v>
      </c>
      <c r="K28" s="13" t="s">
        <v>74</v>
      </c>
      <c r="L28" s="13" t="s">
        <v>75</v>
      </c>
      <c r="M28" s="13" t="s">
        <v>76</v>
      </c>
      <c r="N28" s="13" t="s">
        <v>77</v>
      </c>
      <c r="O28" s="13" t="s">
        <v>78</v>
      </c>
      <c r="P28" s="13" t="s">
        <v>79</v>
      </c>
      <c r="Q28" s="13" t="s">
        <v>80</v>
      </c>
      <c r="R28" s="13" t="s">
        <v>81</v>
      </c>
      <c r="S28" s="13" t="s">
        <v>82</v>
      </c>
      <c r="T28" s="13" t="s">
        <v>83</v>
      </c>
      <c r="U28" s="13" t="s">
        <v>84</v>
      </c>
      <c r="V28" s="13" t="s">
        <v>85</v>
      </c>
      <c r="W28" s="13" t="s">
        <v>86</v>
      </c>
      <c r="X28" s="13" t="s">
        <v>87</v>
      </c>
      <c r="Y28" s="13" t="s">
        <v>88</v>
      </c>
      <c r="Z28" s="13" t="s">
        <v>89</v>
      </c>
      <c r="AA28" s="13" t="s">
        <v>45</v>
      </c>
      <c r="AB28" s="13" t="s">
        <v>43</v>
      </c>
      <c r="AC28" s="56" t="s">
        <v>41</v>
      </c>
      <c r="AD28" s="14" t="s">
        <v>152</v>
      </c>
      <c r="AE28" s="14" t="s">
        <v>153</v>
      </c>
      <c r="AF28" s="14" t="s">
        <v>154</v>
      </c>
      <c r="AG28" s="14" t="s">
        <v>100</v>
      </c>
      <c r="AH28" s="14" t="s">
        <v>102</v>
      </c>
      <c r="AI28" s="14" t="s">
        <v>101</v>
      </c>
      <c r="AJ28" s="14" t="s">
        <v>103</v>
      </c>
      <c r="AK28" s="15"/>
      <c r="AL28" s="15"/>
      <c r="AM28" s="3"/>
      <c r="AN28" s="3"/>
    </row>
    <row r="29" spans="2:40" ht="18" customHeight="1" x14ac:dyDescent="0.3">
      <c r="B29" s="9"/>
      <c r="C29" s="9"/>
      <c r="D29" s="22" t="s">
        <v>1</v>
      </c>
      <c r="E29" s="57"/>
      <c r="F29" s="47"/>
      <c r="G29" s="47"/>
      <c r="H29" s="47"/>
      <c r="I29" s="47">
        <v>38.738738738738746</v>
      </c>
      <c r="J29" s="47">
        <v>49.903063202791785</v>
      </c>
      <c r="K29" s="47">
        <v>56.801592568015934</v>
      </c>
      <c r="L29" s="47">
        <v>61.127214170692426</v>
      </c>
      <c r="M29" s="47">
        <v>83.798701298701303</v>
      </c>
      <c r="N29" s="47">
        <v>68.313502327987578</v>
      </c>
      <c r="O29" s="47">
        <v>50.296233601354203</v>
      </c>
      <c r="P29" s="47">
        <v>52.768338996602047</v>
      </c>
      <c r="Q29" s="47">
        <v>46.405228758169926</v>
      </c>
      <c r="R29" s="47">
        <v>3.0275088366374714</v>
      </c>
      <c r="S29" s="47">
        <v>-16.500070392791777</v>
      </c>
      <c r="T29" s="47">
        <v>-20.829517205285885</v>
      </c>
      <c r="U29" s="47">
        <v>-13.223938223938225</v>
      </c>
      <c r="V29" s="47">
        <v>101.47673031026252</v>
      </c>
      <c r="W29" s="47">
        <v>205.51340414769851</v>
      </c>
      <c r="X29" s="47">
        <v>265.27846636919514</v>
      </c>
      <c r="Y29" s="47">
        <v>262.12458286985537</v>
      </c>
      <c r="Z29" s="47">
        <v>122.40319834160064</v>
      </c>
      <c r="AA29" s="47">
        <v>93.609271523178819</v>
      </c>
      <c r="AB29" s="48">
        <v>77.944170474596206</v>
      </c>
      <c r="AC29" s="49">
        <v>69.182921210259551</v>
      </c>
      <c r="AD29" s="36">
        <v>162.17317650540019</v>
      </c>
      <c r="AE29" s="36">
        <v>145.39528666576911</v>
      </c>
      <c r="AF29" s="36">
        <v>146.86547398863007</v>
      </c>
      <c r="AG29" s="36">
        <v>147.4649830541812</v>
      </c>
      <c r="AH29" s="36">
        <v>44.953056549835992</v>
      </c>
      <c r="AI29" s="36">
        <v>39.439526189485427</v>
      </c>
      <c r="AJ29" s="36">
        <v>31.004955727680162</v>
      </c>
      <c r="AK29" s="35"/>
      <c r="AL29" s="35"/>
      <c r="AM29" s="3"/>
      <c r="AN29" s="3"/>
    </row>
    <row r="30" spans="2:40" ht="18" customHeight="1" x14ac:dyDescent="0.3">
      <c r="B30" s="9"/>
      <c r="C30" s="9"/>
      <c r="D30" s="22" t="s">
        <v>159</v>
      </c>
      <c r="E30" s="58"/>
      <c r="F30" s="37"/>
      <c r="G30" s="37"/>
      <c r="H30" s="37"/>
      <c r="I30" s="37">
        <v>53.522205206738136</v>
      </c>
      <c r="J30" s="37">
        <v>64.419961114711597</v>
      </c>
      <c r="K30" s="37">
        <v>60.073068893528195</v>
      </c>
      <c r="L30" s="37">
        <v>61.050545094152618</v>
      </c>
      <c r="M30" s="37">
        <v>85.586034912718219</v>
      </c>
      <c r="N30" s="37">
        <v>69.688608592826171</v>
      </c>
      <c r="O30" s="37">
        <v>53.798500163025764</v>
      </c>
      <c r="P30" s="37">
        <v>56.461538461538453</v>
      </c>
      <c r="Q30" s="37">
        <v>45.955388336468687</v>
      </c>
      <c r="R30" s="37">
        <v>-29.477351916376303</v>
      </c>
      <c r="S30" s="37">
        <v>-30.103879584481664</v>
      </c>
      <c r="T30" s="37">
        <v>-21.946902654867262</v>
      </c>
      <c r="U30" s="37">
        <v>-12.226109372122995</v>
      </c>
      <c r="V30" s="37">
        <v>215.57971014492753</v>
      </c>
      <c r="W30" s="37">
        <v>310.828025477707</v>
      </c>
      <c r="X30" s="37">
        <v>326.15268329554044</v>
      </c>
      <c r="Y30" s="37">
        <v>330.56429620306272</v>
      </c>
      <c r="Z30" s="37">
        <v>136.84375326166372</v>
      </c>
      <c r="AA30" s="37">
        <v>93.96087117017349</v>
      </c>
      <c r="AB30" s="38">
        <v>70.515549249142722</v>
      </c>
      <c r="AC30" s="39">
        <v>30.528623629719863</v>
      </c>
      <c r="AD30" s="36">
        <v>160.39173911706524</v>
      </c>
      <c r="AE30" s="36">
        <v>145.1645741846348</v>
      </c>
      <c r="AF30" s="36">
        <v>151.37353216276773</v>
      </c>
      <c r="AG30" s="36">
        <v>204.16768642376789</v>
      </c>
      <c r="AH30" s="36">
        <v>44.23820262021907</v>
      </c>
      <c r="AI30" s="36">
        <v>39.092870324224236</v>
      </c>
      <c r="AJ30" s="36">
        <v>30.862841282215658</v>
      </c>
      <c r="AK30" s="35"/>
      <c r="AL30" s="35"/>
      <c r="AM30" s="3"/>
      <c r="AN30" s="3"/>
    </row>
    <row r="31" spans="2:40" ht="18" customHeight="1" x14ac:dyDescent="0.3">
      <c r="B31" s="9"/>
      <c r="C31" s="9"/>
      <c r="D31" s="22" t="s">
        <v>163</v>
      </c>
      <c r="E31" s="58"/>
      <c r="F31" s="37"/>
      <c r="G31" s="37"/>
      <c r="H31" s="37"/>
      <c r="I31" s="37">
        <v>158.83905013192611</v>
      </c>
      <c r="J31" s="37">
        <v>139.96539792387543</v>
      </c>
      <c r="K31" s="37">
        <v>72.483940042826546</v>
      </c>
      <c r="L31" s="37">
        <v>67.199999999999989</v>
      </c>
      <c r="M31" s="37">
        <v>125.79001019367992</v>
      </c>
      <c r="N31" s="37">
        <v>94.087959625090107</v>
      </c>
      <c r="O31" s="37">
        <v>80.819366852886404</v>
      </c>
      <c r="P31" s="37">
        <v>92.10526315789474</v>
      </c>
      <c r="Q31" s="37">
        <v>45.733634311512404</v>
      </c>
      <c r="R31" s="37">
        <v>-76.968796433878168</v>
      </c>
      <c r="S31" s="37">
        <v>-74.699622382423627</v>
      </c>
      <c r="T31" s="37">
        <v>-53.767123287671239</v>
      </c>
      <c r="U31" s="37">
        <v>-28.345724907063197</v>
      </c>
      <c r="V31" s="37">
        <v>1018.8709677419356</v>
      </c>
      <c r="W31" s="37">
        <v>1335.2781546811398</v>
      </c>
      <c r="X31" s="37">
        <v>826.3299663299664</v>
      </c>
      <c r="Y31" s="37">
        <v>637.09468223086901</v>
      </c>
      <c r="Z31" s="37">
        <v>170.76546057373503</v>
      </c>
      <c r="AA31" s="37">
        <v>108.20570996407639</v>
      </c>
      <c r="AB31" s="40">
        <v>75.88688572259376</v>
      </c>
      <c r="AC31" s="41">
        <v>27.855006158718986</v>
      </c>
      <c r="AD31" s="36">
        <v>176.28659485231915</v>
      </c>
      <c r="AE31" s="36">
        <v>160.18909123930916</v>
      </c>
      <c r="AF31" s="36">
        <v>166.42450543876458</v>
      </c>
      <c r="AG31" s="36">
        <v>234.89861455179374</v>
      </c>
      <c r="AH31" s="36">
        <v>46.497378226068165</v>
      </c>
      <c r="AI31" s="36">
        <v>39.263521355135332</v>
      </c>
      <c r="AJ31" s="36">
        <v>30.984162513464074</v>
      </c>
      <c r="AK31" s="35"/>
      <c r="AL31" s="35"/>
      <c r="AM31" s="3"/>
      <c r="AN31" s="3"/>
    </row>
    <row r="32" spans="2:40" ht="18" customHeight="1" x14ac:dyDescent="0.3">
      <c r="B32" s="9"/>
      <c r="C32" s="9"/>
      <c r="D32" s="22" t="s">
        <v>165</v>
      </c>
      <c r="E32" s="58"/>
      <c r="F32" s="37"/>
      <c r="G32" s="37"/>
      <c r="H32" s="37"/>
      <c r="I32" s="37">
        <v>125.15090543259558</v>
      </c>
      <c r="J32" s="37">
        <v>161.60458452722062</v>
      </c>
      <c r="K32" s="37">
        <v>84.724857685009482</v>
      </c>
      <c r="L32" s="37">
        <v>75.901495162708869</v>
      </c>
      <c r="M32" s="37">
        <v>126.54155495978551</v>
      </c>
      <c r="N32" s="37">
        <v>65.38882803943045</v>
      </c>
      <c r="O32" s="37">
        <v>67.180277349768886</v>
      </c>
      <c r="P32" s="37">
        <v>78.2</v>
      </c>
      <c r="Q32" s="37">
        <v>42.248520710059182</v>
      </c>
      <c r="R32" s="37">
        <v>-65.397350993377486</v>
      </c>
      <c r="S32" s="37">
        <v>-63.37941628264209</v>
      </c>
      <c r="T32" s="37">
        <v>-44.865319865319861</v>
      </c>
      <c r="U32" s="37">
        <v>-23.571824736550195</v>
      </c>
      <c r="V32" s="37">
        <v>605.16746411483257</v>
      </c>
      <c r="W32" s="37">
        <v>824.41275167785227</v>
      </c>
      <c r="X32" s="37">
        <v>623.51145038167942</v>
      </c>
      <c r="Y32" s="37">
        <v>536.39332365747464</v>
      </c>
      <c r="Z32" s="37">
        <v>161.90799294341161</v>
      </c>
      <c r="AA32" s="37">
        <v>105.04582993012068</v>
      </c>
      <c r="AB32" s="40">
        <v>74.706337483294647</v>
      </c>
      <c r="AC32" s="41">
        <v>28.342550886595586</v>
      </c>
      <c r="AD32" s="36">
        <v>173.84002590673578</v>
      </c>
      <c r="AE32" s="36">
        <v>159.29302764745802</v>
      </c>
      <c r="AF32" s="36">
        <v>165.51352765923184</v>
      </c>
      <c r="AG32" s="36">
        <v>235.12068710202874</v>
      </c>
      <c r="AH32" s="36">
        <v>48.242282989651166</v>
      </c>
      <c r="AI32" s="36">
        <v>40.175228688150156</v>
      </c>
      <c r="AJ32" s="36">
        <v>31.592646687436911</v>
      </c>
      <c r="AK32" s="35"/>
      <c r="AL32" s="35"/>
      <c r="AM32" s="3"/>
      <c r="AN32" s="3"/>
    </row>
    <row r="33" spans="2:40" ht="18" customHeight="1" thickBot="1" x14ac:dyDescent="0.35">
      <c r="B33" s="9"/>
      <c r="C33" s="9"/>
      <c r="D33" s="42" t="s">
        <v>170</v>
      </c>
      <c r="E33" s="59"/>
      <c r="F33" s="60"/>
      <c r="G33" s="60"/>
      <c r="H33" s="60"/>
      <c r="I33" s="60">
        <v>126.03408737011978</v>
      </c>
      <c r="J33" s="60">
        <v>122.02403595076757</v>
      </c>
      <c r="K33" s="60">
        <v>66.988167745437792</v>
      </c>
      <c r="L33" s="60">
        <v>65.986020768774353</v>
      </c>
      <c r="M33" s="60">
        <v>120.42940671514874</v>
      </c>
      <c r="N33" s="60">
        <v>107.46680611960269</v>
      </c>
      <c r="O33" s="60">
        <v>73.641084651459039</v>
      </c>
      <c r="P33" s="60">
        <v>95.00360508598061</v>
      </c>
      <c r="Q33" s="60">
        <v>37.738564412060605</v>
      </c>
      <c r="R33" s="60">
        <v>-70.569764665505858</v>
      </c>
      <c r="S33" s="60">
        <v>-69.638117650357728</v>
      </c>
      <c r="T33" s="60">
        <v>-48.523789594326161</v>
      </c>
      <c r="U33" s="60">
        <v>-22.536153511934785</v>
      </c>
      <c r="V33" s="60">
        <v>723.48333050394581</v>
      </c>
      <c r="W33" s="60">
        <v>1078.3667112296446</v>
      </c>
      <c r="X33" s="60">
        <v>663.6051408522186</v>
      </c>
      <c r="Y33" s="60">
        <v>584.26794788473421</v>
      </c>
      <c r="Z33" s="60">
        <v>166.03086683937823</v>
      </c>
      <c r="AA33" s="60">
        <v>106.2609396864398</v>
      </c>
      <c r="AB33" s="61">
        <v>81.083864279222922</v>
      </c>
      <c r="AC33" s="62">
        <v>27.689272785887397</v>
      </c>
      <c r="AD33" s="43">
        <v>159.74320262689298</v>
      </c>
      <c r="AE33" s="43">
        <v>145.29671879633693</v>
      </c>
      <c r="AF33" s="43">
        <v>140.79799954381147</v>
      </c>
      <c r="AG33" s="43">
        <v>217.25767499676448</v>
      </c>
      <c r="AH33" s="43">
        <v>47.103619308040656</v>
      </c>
      <c r="AI33" s="43">
        <v>39.890671773045241</v>
      </c>
      <c r="AJ33" s="43">
        <v>32.225801335378023</v>
      </c>
      <c r="AK33" s="35"/>
      <c r="AL33" s="35"/>
      <c r="AM33" s="3"/>
      <c r="AN33" s="3"/>
    </row>
    <row r="34" spans="2:40" ht="18" customHeight="1" thickTop="1" thickBot="1" x14ac:dyDescent="0.35">
      <c r="B34" s="7"/>
      <c r="D34" s="44" t="s">
        <v>172</v>
      </c>
      <c r="E34" s="13" t="s">
        <v>68</v>
      </c>
      <c r="F34" s="13" t="s">
        <v>69</v>
      </c>
      <c r="G34" s="13" t="s">
        <v>70</v>
      </c>
      <c r="H34" s="13" t="s">
        <v>71</v>
      </c>
      <c r="I34" s="13" t="s">
        <v>72</v>
      </c>
      <c r="J34" s="13" t="s">
        <v>73</v>
      </c>
      <c r="K34" s="13" t="s">
        <v>74</v>
      </c>
      <c r="L34" s="13" t="s">
        <v>75</v>
      </c>
      <c r="M34" s="13" t="s">
        <v>76</v>
      </c>
      <c r="N34" s="13" t="s">
        <v>77</v>
      </c>
      <c r="O34" s="13" t="s">
        <v>78</v>
      </c>
      <c r="P34" s="13" t="s">
        <v>79</v>
      </c>
      <c r="Q34" s="13" t="s">
        <v>80</v>
      </c>
      <c r="R34" s="13" t="s">
        <v>81</v>
      </c>
      <c r="S34" s="13" t="s">
        <v>82</v>
      </c>
      <c r="T34" s="13" t="s">
        <v>83</v>
      </c>
      <c r="U34" s="13" t="s">
        <v>84</v>
      </c>
      <c r="V34" s="13" t="s">
        <v>85</v>
      </c>
      <c r="W34" s="13" t="s">
        <v>86</v>
      </c>
      <c r="X34" s="45" t="s">
        <v>87</v>
      </c>
      <c r="Y34" s="45" t="s">
        <v>88</v>
      </c>
      <c r="Z34" s="45" t="s">
        <v>89</v>
      </c>
      <c r="AA34" s="45" t="s">
        <v>45</v>
      </c>
      <c r="AB34" s="45" t="s">
        <v>43</v>
      </c>
      <c r="AC34" s="44" t="s">
        <v>41</v>
      </c>
      <c r="AD34" s="14" t="s">
        <v>152</v>
      </c>
      <c r="AE34" s="14" t="s">
        <v>153</v>
      </c>
      <c r="AF34" s="14" t="s">
        <v>154</v>
      </c>
      <c r="AG34" s="14" t="s">
        <v>100</v>
      </c>
      <c r="AH34" s="14" t="s">
        <v>102</v>
      </c>
      <c r="AI34" s="14" t="s">
        <v>101</v>
      </c>
      <c r="AJ34" s="14" t="s">
        <v>103</v>
      </c>
      <c r="AK34" s="10"/>
      <c r="AL34" s="10"/>
      <c r="AM34" s="3"/>
      <c r="AN34" s="3"/>
    </row>
    <row r="35" spans="2:40" ht="18" customHeight="1" thickTop="1" x14ac:dyDescent="0.3">
      <c r="B35" s="7" t="s">
        <v>29</v>
      </c>
      <c r="C35" s="6" t="s">
        <v>173</v>
      </c>
      <c r="D35" s="22" t="s">
        <v>174</v>
      </c>
      <c r="E35" s="50">
        <v>1.66E-2</v>
      </c>
      <c r="F35" s="50">
        <v>2.2800000000000001E-2</v>
      </c>
      <c r="G35" s="50">
        <v>3.6499999999999998E-2</v>
      </c>
      <c r="H35" s="50">
        <v>3.9199999999999999E-2</v>
      </c>
      <c r="I35" s="50">
        <v>3.7100000000000001E-2</v>
      </c>
      <c r="J35" s="50">
        <v>4.9700000000000001E-2</v>
      </c>
      <c r="K35" s="50">
        <v>0.06</v>
      </c>
      <c r="L35" s="50">
        <v>6.3100000000000003E-2</v>
      </c>
      <c r="M35" s="50">
        <v>8.1100000000000005E-2</v>
      </c>
      <c r="N35" s="50">
        <v>0.1018</v>
      </c>
      <c r="O35" s="50">
        <v>0.1033</v>
      </c>
      <c r="P35" s="50">
        <v>0.1221</v>
      </c>
      <c r="Q35" s="50">
        <v>0.1111</v>
      </c>
      <c r="R35" s="50">
        <v>0.03</v>
      </c>
      <c r="S35" s="50">
        <v>3.1699999999999999E-2</v>
      </c>
      <c r="T35" s="50">
        <v>6.4500000000000002E-2</v>
      </c>
      <c r="U35" s="50">
        <v>8.7400000000000005E-2</v>
      </c>
      <c r="V35" s="50">
        <v>0.24979999999999999</v>
      </c>
      <c r="W35" s="50">
        <v>0.37690000000000001</v>
      </c>
      <c r="X35" s="50">
        <v>0.49</v>
      </c>
      <c r="Y35" s="50">
        <v>0.59889999999999999</v>
      </c>
      <c r="Z35" s="50">
        <v>0.66930000000000001</v>
      </c>
      <c r="AA35" s="50">
        <v>0.78239999999999998</v>
      </c>
      <c r="AB35" s="51">
        <v>0.89080000000000004</v>
      </c>
      <c r="AC35" s="52">
        <v>0.77039999999999997</v>
      </c>
      <c r="AD35" s="53">
        <v>1.758</v>
      </c>
      <c r="AE35" s="54">
        <v>1.9470000000000001</v>
      </c>
      <c r="AF35" s="54">
        <v>2.1869999999999998</v>
      </c>
      <c r="AG35" s="54">
        <v>2.4710000000000001</v>
      </c>
      <c r="AH35" s="54">
        <v>2.6019999999999999</v>
      </c>
      <c r="AI35" s="54">
        <v>2.7320000000000002</v>
      </c>
      <c r="AJ35" s="54">
        <v>2.8970000000000002</v>
      </c>
      <c r="AK35" s="10"/>
      <c r="AL35" s="10"/>
      <c r="AM35" s="3"/>
      <c r="AN35" s="3"/>
    </row>
    <row r="36" spans="2:40" ht="18" customHeight="1" x14ac:dyDescent="0.3">
      <c r="B36" s="6" t="s">
        <v>175</v>
      </c>
      <c r="C36" s="6" t="s">
        <v>176</v>
      </c>
      <c r="D36" s="22" t="s">
        <v>177</v>
      </c>
      <c r="E36" s="26">
        <v>0.39839999999999998</v>
      </c>
      <c r="F36" s="26">
        <v>0.42430000000000001</v>
      </c>
      <c r="G36" s="26">
        <v>0.45810000000000001</v>
      </c>
      <c r="H36" s="26">
        <v>0.4985</v>
      </c>
      <c r="I36" s="26">
        <v>0.53249999999999997</v>
      </c>
      <c r="J36" s="26">
        <v>0.56379999999999997</v>
      </c>
      <c r="K36" s="26">
        <v>0.61929999999999996</v>
      </c>
      <c r="L36" s="26">
        <v>0.68120000000000003</v>
      </c>
      <c r="M36" s="26">
        <v>0.75339999999999996</v>
      </c>
      <c r="N36" s="26">
        <v>0.84719999999999995</v>
      </c>
      <c r="O36" s="26">
        <v>0.95120000000000005</v>
      </c>
      <c r="P36" s="26">
        <v>1.0619000000000001</v>
      </c>
      <c r="Q36" s="26">
        <v>1.0510999999999999</v>
      </c>
      <c r="R36" s="26">
        <v>0.95830000000000004</v>
      </c>
      <c r="S36" s="26">
        <v>0.86499999999999999</v>
      </c>
      <c r="T36" s="26">
        <v>0.8962</v>
      </c>
      <c r="U36" s="26">
        <v>0.99150000000000005</v>
      </c>
      <c r="V36" s="26">
        <v>1.1138999999999999</v>
      </c>
      <c r="W36" s="26">
        <v>1.3489</v>
      </c>
      <c r="X36" s="26">
        <v>1.7442</v>
      </c>
      <c r="Y36" s="26">
        <v>1.9871000000000001</v>
      </c>
      <c r="Z36" s="26">
        <v>2.3677999999999999</v>
      </c>
      <c r="AA36" s="26">
        <v>2.6888999999999998</v>
      </c>
      <c r="AB36" s="27">
        <v>3.2408999999999999</v>
      </c>
      <c r="AC36" s="28">
        <v>3.4379</v>
      </c>
      <c r="AD36" s="55">
        <v>7.7640000000000002</v>
      </c>
      <c r="AE36" s="29">
        <v>9.3119999999999994</v>
      </c>
      <c r="AF36" s="29">
        <v>11.079000000000001</v>
      </c>
      <c r="AG36" s="29">
        <v>13.098000000000001</v>
      </c>
      <c r="AH36" s="29">
        <v>15.449</v>
      </c>
      <c r="AI36" s="29">
        <v>17.736000000000001</v>
      </c>
      <c r="AJ36" s="29">
        <v>20.07</v>
      </c>
      <c r="AM36" s="3"/>
      <c r="AN36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6"/>
  <sheetViews>
    <sheetView showGridLines="0" zoomScale="55" zoomScaleNormal="55" workbookViewId="0">
      <selection activeCell="C65" sqref="C65"/>
    </sheetView>
  </sheetViews>
  <sheetFormatPr defaultRowHeight="12.75" x14ac:dyDescent="0.3"/>
  <cols>
    <col min="1" max="1" width="9" style="3" customWidth="1"/>
    <col min="2" max="2" width="22.25" style="3" bestFit="1" customWidth="1"/>
    <col min="3" max="3" width="26.25" style="3" customWidth="1"/>
    <col min="4" max="4" width="19" style="3" customWidth="1"/>
    <col min="5" max="5" width="11.625" style="3" customWidth="1"/>
    <col min="6" max="6" width="13.875" style="3" customWidth="1"/>
    <col min="7" max="34" width="11.625" style="3" customWidth="1"/>
    <col min="35" max="36" width="11.625" style="4" customWidth="1"/>
    <col min="37" max="40" width="9" style="4"/>
    <col min="41" max="16384" width="9" style="3"/>
  </cols>
  <sheetData>
    <row r="1" spans="2:40" ht="16.5" customHeight="1" x14ac:dyDescent="0.3"/>
    <row r="2" spans="2:40" ht="16.5" customHeight="1" x14ac:dyDescent="0.3">
      <c r="AI2" s="5"/>
      <c r="AJ2" s="5"/>
      <c r="AK2" s="5"/>
      <c r="AL2" s="5"/>
      <c r="AM2" s="5"/>
      <c r="AN2" s="5"/>
    </row>
    <row r="3" spans="2:40" ht="16.5" customHeight="1" x14ac:dyDescent="0.3">
      <c r="D3" s="3" t="s">
        <v>32</v>
      </c>
      <c r="E3" s="6" t="s">
        <v>131</v>
      </c>
      <c r="F3" s="6" t="s">
        <v>30</v>
      </c>
      <c r="G3" s="3" t="s">
        <v>36</v>
      </c>
    </row>
    <row r="4" spans="2:40" ht="16.5" customHeight="1" x14ac:dyDescent="0.3">
      <c r="B4" s="6" t="s">
        <v>31</v>
      </c>
      <c r="C4" s="6" t="s">
        <v>130</v>
      </c>
      <c r="D4" s="7" t="s">
        <v>133</v>
      </c>
      <c r="E4" s="3" t="e">
        <f ca="1">_xll.BDP($D$4,$C$4)</f>
        <v>#NAME?</v>
      </c>
      <c r="F4" s="6" t="e">
        <f ca="1">_xll.BDP($D$4,$B$4,$G$4,$H$4)</f>
        <v>#NAME?</v>
      </c>
      <c r="G4" s="46" t="s">
        <v>129</v>
      </c>
      <c r="H4" s="6"/>
      <c r="J4" s="5"/>
      <c r="K4" s="5"/>
      <c r="L4" s="5"/>
      <c r="M4" s="5"/>
      <c r="N4" s="5"/>
      <c r="O4" s="5"/>
      <c r="P4" s="5"/>
      <c r="Q4" s="5"/>
      <c r="R4" s="7"/>
      <c r="S4" s="7"/>
      <c r="T4" s="7"/>
      <c r="U4" s="7"/>
      <c r="V4" s="7"/>
      <c r="W4" s="7"/>
      <c r="X4" s="7"/>
      <c r="Y4" s="7"/>
    </row>
    <row r="5" spans="2:40" ht="16.5" customHeight="1" x14ac:dyDescent="0.3">
      <c r="B5" s="6"/>
    </row>
    <row r="6" spans="2:40" ht="16.5" customHeight="1" x14ac:dyDescent="0.3">
      <c r="E6" s="5" t="s">
        <v>118</v>
      </c>
      <c r="F6" s="5" t="s">
        <v>119</v>
      </c>
      <c r="G6" s="5" t="s">
        <v>107</v>
      </c>
      <c r="H6" s="5" t="s">
        <v>108</v>
      </c>
      <c r="I6" s="5" t="s">
        <v>120</v>
      </c>
      <c r="J6" s="5" t="s">
        <v>121</v>
      </c>
      <c r="K6" s="5" t="s">
        <v>109</v>
      </c>
      <c r="L6" s="5" t="s">
        <v>110</v>
      </c>
      <c r="M6" s="5" t="s">
        <v>122</v>
      </c>
      <c r="N6" s="5" t="s">
        <v>123</v>
      </c>
      <c r="O6" s="5" t="s">
        <v>111</v>
      </c>
      <c r="P6" s="5" t="s">
        <v>112</v>
      </c>
      <c r="Q6" s="5" t="s">
        <v>124</v>
      </c>
      <c r="R6" s="5" t="s">
        <v>125</v>
      </c>
      <c r="S6" s="5" t="s">
        <v>113</v>
      </c>
      <c r="T6" s="5" t="s">
        <v>114</v>
      </c>
      <c r="U6" s="5" t="s">
        <v>126</v>
      </c>
      <c r="V6" s="5" t="s">
        <v>127</v>
      </c>
      <c r="W6" s="5" t="s">
        <v>115</v>
      </c>
      <c r="X6" s="5" t="s">
        <v>116</v>
      </c>
      <c r="Y6" s="5" t="s">
        <v>128</v>
      </c>
      <c r="Z6" s="5" t="s">
        <v>117</v>
      </c>
      <c r="AA6" s="5" t="s">
        <v>106</v>
      </c>
      <c r="AB6" s="5" t="s">
        <v>105</v>
      </c>
      <c r="AC6" s="5" t="s">
        <v>104</v>
      </c>
      <c r="AD6" s="5" t="s">
        <v>93</v>
      </c>
      <c r="AE6" s="5" t="s">
        <v>94</v>
      </c>
      <c r="AF6" s="5" t="s">
        <v>95</v>
      </c>
      <c r="AG6" s="5" t="s">
        <v>96</v>
      </c>
      <c r="AH6" s="5" t="s">
        <v>97</v>
      </c>
      <c r="AI6" s="5" t="s">
        <v>98</v>
      </c>
      <c r="AJ6" s="5" t="s">
        <v>99</v>
      </c>
    </row>
    <row r="7" spans="2:40" ht="16.5" customHeight="1" x14ac:dyDescent="0.3">
      <c r="B7" s="5" t="s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40" ht="16.5" customHeight="1" thickBot="1" x14ac:dyDescent="0.3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10"/>
      <c r="AJ8" s="11"/>
      <c r="AK8" s="10"/>
      <c r="AL8" s="10"/>
      <c r="AM8" s="10"/>
      <c r="AN8" s="10"/>
    </row>
    <row r="9" spans="2:40" ht="16.5" customHeight="1" thickTop="1" thickBot="1" x14ac:dyDescent="0.35">
      <c r="B9" s="8"/>
      <c r="C9" s="8"/>
      <c r="D9" s="12" t="s">
        <v>0</v>
      </c>
      <c r="E9" s="13" t="s">
        <v>68</v>
      </c>
      <c r="F9" s="13" t="s">
        <v>67</v>
      </c>
      <c r="G9" s="13" t="s">
        <v>58</v>
      </c>
      <c r="H9" s="13" t="s">
        <v>59</v>
      </c>
      <c r="I9" s="13" t="s">
        <v>60</v>
      </c>
      <c r="J9" s="13" t="s">
        <v>61</v>
      </c>
      <c r="K9" s="13" t="s">
        <v>62</v>
      </c>
      <c r="L9" s="13" t="s">
        <v>63</v>
      </c>
      <c r="M9" s="13" t="s">
        <v>64</v>
      </c>
      <c r="N9" s="13" t="s">
        <v>65</v>
      </c>
      <c r="O9" s="13" t="s">
        <v>66</v>
      </c>
      <c r="P9" s="13" t="s">
        <v>47</v>
      </c>
      <c r="Q9" s="13" t="s">
        <v>48</v>
      </c>
      <c r="R9" s="13" t="s">
        <v>49</v>
      </c>
      <c r="S9" s="13" t="s">
        <v>50</v>
      </c>
      <c r="T9" s="13" t="s">
        <v>51</v>
      </c>
      <c r="U9" s="13" t="s">
        <v>52</v>
      </c>
      <c r="V9" s="13" t="s">
        <v>53</v>
      </c>
      <c r="W9" s="13" t="s">
        <v>54</v>
      </c>
      <c r="X9" s="13" t="s">
        <v>55</v>
      </c>
      <c r="Y9" s="13" t="s">
        <v>56</v>
      </c>
      <c r="Z9" s="13" t="s">
        <v>57</v>
      </c>
      <c r="AA9" s="13" t="s">
        <v>46</v>
      </c>
      <c r="AB9" s="14" t="s">
        <v>44</v>
      </c>
      <c r="AC9" s="12" t="s">
        <v>42</v>
      </c>
      <c r="AD9" s="14" t="s">
        <v>90</v>
      </c>
      <c r="AE9" s="14" t="s">
        <v>91</v>
      </c>
      <c r="AF9" s="14" t="s">
        <v>92</v>
      </c>
      <c r="AG9" s="14" t="s">
        <v>100</v>
      </c>
      <c r="AH9" s="14" t="s">
        <v>102</v>
      </c>
      <c r="AI9" s="14" t="s">
        <v>101</v>
      </c>
      <c r="AJ9" s="14" t="s">
        <v>103</v>
      </c>
      <c r="AK9" s="15"/>
      <c r="AL9" s="15"/>
      <c r="AM9" s="3"/>
      <c r="AN9" s="3"/>
    </row>
    <row r="10" spans="2:40" ht="18" customHeight="1" x14ac:dyDescent="0.3">
      <c r="B10" s="7" t="s">
        <v>5</v>
      </c>
      <c r="C10" s="7" t="s">
        <v>8</v>
      </c>
      <c r="D10" s="16" t="s">
        <v>1</v>
      </c>
      <c r="E10" s="17" t="e">
        <f ca="1">_xll.BDH($D$4,$B10,E$6,E$6,"Period=FQ","BEST_FPERIOD_OVERRIDE=FQ","FILING_STATUS=MR","SCALING_FORMAT=MLN","FA_ADJUSTED=Adjusted","Sort=A","Dates=H","DateFormat=P","Fill=—","Direction=H","UseDPDF=Y",$G$4)</f>
        <v>#NAME?</v>
      </c>
      <c r="F10" s="17" t="e">
        <f ca="1">_xll.BDH($D$4,$B10,F$6,F$6,"Period=FQ","BEST_FPERIOD_OVERRIDE=FQ","FILING_STATUS=MR","SCALING_FORMAT=MLN","FA_ADJUSTED=Adjusted","Sort=A","Dates=H","DateFormat=P","Fill=—","Direction=H","UseDPDF=Y",$G$4)</f>
        <v>#NAME?</v>
      </c>
      <c r="G10" s="17" t="e">
        <f ca="1">_xll.BDH($D$4,$B10,G$6,G$6,"Period=FQ","BEST_FPERIOD_OVERRIDE=FQ","FILING_STATUS=MR","SCALING_FORMAT=MLN","FA_ADJUSTED=Adjusted","Sort=A","Dates=H","DateFormat=P","Fill=—","Direction=H","UseDPDF=Y",$G$4)</f>
        <v>#NAME?</v>
      </c>
      <c r="H10" s="17" t="e">
        <f ca="1">_xll.BDH($D$4,$B10,H$6,H$6,"Period=FQ","BEST_FPERIOD_OVERRIDE=FQ","FILING_STATUS=MR","SCALING_FORMAT=MLN","FA_ADJUSTED=Adjusted","Sort=A","Dates=H","DateFormat=P","Fill=—","Direction=H","UseDPDF=Y",$G$4)</f>
        <v>#NAME?</v>
      </c>
      <c r="I10" s="17" t="e">
        <f ca="1">_xll.BDH($D$4,$B10,I$6,I$6,"Period=FQ","BEST_FPERIOD_OVERRIDE=FQ","FILING_STATUS=MR","SCALING_FORMAT=MLN","FA_ADJUSTED=Adjusted","Sort=A","Dates=H","DateFormat=P","Fill=—","Direction=H","UseDPDF=Y",$G$4)</f>
        <v>#NAME?</v>
      </c>
      <c r="J10" s="17" t="e">
        <f ca="1">_xll.BDH($D$4,$B10,J$6,J$6,"Period=FQ","BEST_FPERIOD_OVERRIDE=FQ","FILING_STATUS=MR","SCALING_FORMAT=MLN","FA_ADJUSTED=Adjusted","Sort=A","Dates=H","DateFormat=P","Fill=—","Direction=H","UseDPDF=Y",$G$4)</f>
        <v>#NAME?</v>
      </c>
      <c r="K10" s="17" t="e">
        <f ca="1">_xll.BDH($D$4,$B10,K$6,K$6,"Period=FQ","BEST_FPERIOD_OVERRIDE=FQ","FILING_STATUS=MR","SCALING_FORMAT=MLN","FA_ADJUSTED=Adjusted","Sort=A","Dates=H","DateFormat=P","Fill=—","Direction=H","UseDPDF=Y",$G$4)</f>
        <v>#NAME?</v>
      </c>
      <c r="L10" s="17" t="e">
        <f ca="1">_xll.BDH($D$4,$B10,L$6,L$6,"Period=FQ","BEST_FPERIOD_OVERRIDE=FQ","FILING_STATUS=MR","SCALING_FORMAT=MLN","FA_ADJUSTED=Adjusted","Sort=A","Dates=H","DateFormat=P","Fill=—","Direction=H","UseDPDF=Y",$G$4)</f>
        <v>#NAME?</v>
      </c>
      <c r="M10" s="17" t="e">
        <f ca="1">_xll.BDH($D$4,$B10,M$6,M$6,"Period=FQ","BEST_FPERIOD_OVERRIDE=FQ","FILING_STATUS=MR","SCALING_FORMAT=MLN","FA_ADJUSTED=Adjusted","Sort=A","Dates=H","DateFormat=P","Fill=—","Direction=H","UseDPDF=Y",$G$4)</f>
        <v>#NAME?</v>
      </c>
      <c r="N10" s="17" t="e">
        <f ca="1">_xll.BDH($D$4,$B10,N$6,N$6,"Period=FQ","BEST_FPERIOD_OVERRIDE=FQ","FILING_STATUS=MR","SCALING_FORMAT=MLN","FA_ADJUSTED=Adjusted","Sort=A","Dates=H","DateFormat=P","Fill=—","Direction=H","UseDPDF=Y",$G$4)</f>
        <v>#NAME?</v>
      </c>
      <c r="O10" s="17" t="e">
        <f ca="1">_xll.BDH($D$4,$B10,O$6,O$6,"Period=FQ","BEST_FPERIOD_OVERRIDE=FQ","FILING_STATUS=MR","SCALING_FORMAT=MLN","FA_ADJUSTED=Adjusted","Sort=A","Dates=H","DateFormat=P","Fill=—","Direction=H","UseDPDF=Y",$G$4)</f>
        <v>#NAME?</v>
      </c>
      <c r="P10" s="17" t="e">
        <f ca="1">_xll.BDH($D$4,$B10,P$6,P$6,"Period=FQ","BEST_FPERIOD_OVERRIDE=FQ","FILING_STATUS=MR","SCALING_FORMAT=MLN","FA_ADJUSTED=Adjusted","Sort=A","Dates=H","DateFormat=P","Fill=—","Direction=H","UseDPDF=Y",$G$4)</f>
        <v>#NAME?</v>
      </c>
      <c r="Q10" s="17" t="e">
        <f ca="1">_xll.BDH($D$4,$B10,Q$6,Q$6,"Period=FQ","BEST_FPERIOD_OVERRIDE=FQ","FILING_STATUS=MR","SCALING_FORMAT=MLN","FA_ADJUSTED=Adjusted","Sort=A","Dates=H","DateFormat=P","Fill=—","Direction=H","UseDPDF=Y",$G$4)</f>
        <v>#NAME?</v>
      </c>
      <c r="R10" s="17" t="e">
        <f ca="1">_xll.BDH($D$4,$B10,R$6,R$6,"Period=FQ","BEST_FPERIOD_OVERRIDE=FQ","FILING_STATUS=MR","SCALING_FORMAT=MLN","FA_ADJUSTED=Adjusted","Sort=A","Dates=H","DateFormat=P","Fill=—","Direction=H","UseDPDF=Y",$G$4)</f>
        <v>#NAME?</v>
      </c>
      <c r="S10" s="17" t="e">
        <f ca="1">_xll.BDH($D$4,$B10,S$6,S$6,"Period=FQ","BEST_FPERIOD_OVERRIDE=FQ","FILING_STATUS=MR","SCALING_FORMAT=MLN","FA_ADJUSTED=Adjusted","Sort=A","Dates=H","DateFormat=P","Fill=—","Direction=H","UseDPDF=Y",$G$4)</f>
        <v>#NAME?</v>
      </c>
      <c r="T10" s="17" t="e">
        <f ca="1">_xll.BDH($D$4,$B10,T$6,T$6,"Period=FQ","BEST_FPERIOD_OVERRIDE=FQ","FILING_STATUS=MR","SCALING_FORMAT=MLN","FA_ADJUSTED=Adjusted","Sort=A","Dates=H","DateFormat=P","Fill=—","Direction=H","UseDPDF=Y",$G$4)</f>
        <v>#NAME?</v>
      </c>
      <c r="U10" s="17" t="e">
        <f ca="1">_xll.BDH($D$4,$B10,U$6,U$6,"Period=FQ","BEST_FPERIOD_OVERRIDE=FQ","FILING_STATUS=MR","SCALING_FORMAT=MLN","FA_ADJUSTED=Adjusted","Sort=A","Dates=H","DateFormat=P","Fill=—","Direction=H","UseDPDF=Y",$G$4)</f>
        <v>#NAME?</v>
      </c>
      <c r="V10" s="17" t="e">
        <f ca="1">_xll.BDH($D$4,$B10,V$6,V$6,"Period=FQ","BEST_FPERIOD_OVERRIDE=FQ","FILING_STATUS=MR","SCALING_FORMAT=MLN","FA_ADJUSTED=Adjusted","Sort=A","Dates=H","DateFormat=P","Fill=—","Direction=H","UseDPDF=Y",$G$4)</f>
        <v>#NAME?</v>
      </c>
      <c r="W10" s="17" t="e">
        <f ca="1">_xll.BDH($D$4,$B10,W$6,W$6,"Period=FQ","BEST_FPERIOD_OVERRIDE=FQ","FILING_STATUS=MR","SCALING_FORMAT=MLN","FA_ADJUSTED=Adjusted","Sort=A","Dates=H","DateFormat=P","Fill=—","Direction=H","UseDPDF=Y",$G$4)</f>
        <v>#NAME?</v>
      </c>
      <c r="X10" s="17" t="e">
        <f ca="1">_xll.BDH($D$4,$B10,X$6,X$6,"Period=FQ","BEST_FPERIOD_OVERRIDE=FQ","FILING_STATUS=MR","SCALING_FORMAT=MLN","FA_ADJUSTED=Adjusted","Sort=A","Dates=H","DateFormat=P","Fill=—","Direction=H","UseDPDF=Y",$G$4)</f>
        <v>#NAME?</v>
      </c>
      <c r="Y10" s="17" t="e">
        <f ca="1">_xll.BDH($D$4,$B10,Y$6,Y$6,"Period=FQ","BEST_FPERIOD_OVERRIDE=FQ","FILING_STATUS=MR","SCALING_FORMAT=MLN","FA_ADJUSTED=Adjusted","Sort=A","Dates=H","DateFormat=P","Fill=—","Direction=H","UseDPDF=Y",$G$4)</f>
        <v>#NAME?</v>
      </c>
      <c r="Z10" s="17" t="e">
        <f ca="1">_xll.BDH($D$4,$B10,Z$6,Z$6,"Period=FQ","BEST_FPERIOD_OVERRIDE=FQ","FILING_STATUS=MR","SCALING_FORMAT=MLN","FA_ADJUSTED=Adjusted","Sort=A","Dates=H","DateFormat=P","Fill=—","Direction=H","UseDPDF=Y",$G$4)</f>
        <v>#NAME?</v>
      </c>
      <c r="AA10" s="17" t="e">
        <f ca="1">_xll.BDH($D$4,$B10,AA$6,AA$6,"Period=FQ","BEST_FPERIOD_OVERRIDE=FQ","FILING_STATUS=MR","SCALING_FORMAT=MLN","FA_ADJUSTED=Adjusted","Sort=A","Dates=H","DateFormat=P","Fill=—","Direction=H","UseDPDF=Y",$G$4)</f>
        <v>#NAME?</v>
      </c>
      <c r="AB10" s="18" t="e">
        <f ca="1">_xll.BDH($D$4,$B10,AB$6,AB$6,"Period=FQ","BEST_FPERIOD_OVERRIDE=FQ","FILING_STATUS=MR","SCALING_FORMAT=MLN","FA_ADJUSTED=Adjusted","Sort=A","Dates=H","DateFormat=P","Fill=—","Direction=H","UseDPDF=Y",$G$4)</f>
        <v>#NAME?</v>
      </c>
      <c r="AC10" s="19" t="e">
        <f ca="1">_xll.BDH($D$4,$B10,AC$6,AC$6,"Period=FQ","BEST_FPERIOD_OVERRIDE=FQ","FILING_STATUS=MR","SCALING_FORMAT=MLN","FA_ADJUSTED=Adjusted","Sort=A","Dates=H","DateFormat=P","Fill=—","Direction=H","UseDPDF=Y",$G$4)</f>
        <v>#NAME?</v>
      </c>
      <c r="AD10" s="20" t="e">
        <f ca="1">_xll.BDP($D$4,$C10,AD$6,$G$4)</f>
        <v>#NAME?</v>
      </c>
      <c r="AE10" s="20" t="e">
        <f ca="1">_xll.BDP($D$4,$C10,AE$6,$G$4)</f>
        <v>#NAME?</v>
      </c>
      <c r="AF10" s="20" t="e">
        <f ca="1">_xll.BDP($D$4,$C10,AF$6,$G$4)</f>
        <v>#NAME?</v>
      </c>
      <c r="AG10" s="20" t="e">
        <f ca="1">_xll.BDP($D$4,$C10,AG$6,$G$4)</f>
        <v>#NAME?</v>
      </c>
      <c r="AH10" s="20" t="e">
        <f ca="1">_xll.BDP($D$4,$C10,AH$6,$G$4)</f>
        <v>#NAME?</v>
      </c>
      <c r="AI10" s="20" t="e">
        <f ca="1">_xll.BDP($D$4,$C10,AI$6,$G$4)</f>
        <v>#NAME?</v>
      </c>
      <c r="AJ10" s="20" t="e">
        <f ca="1">_xll.BDP($D$4,$C10,AJ$6,$G$4)</f>
        <v>#NAME?</v>
      </c>
      <c r="AK10" s="21"/>
      <c r="AL10" s="21"/>
      <c r="AM10" s="3"/>
      <c r="AN10" s="3"/>
    </row>
    <row r="11" spans="2:40" ht="18" customHeight="1" x14ac:dyDescent="0.3">
      <c r="B11" s="7"/>
      <c r="C11" s="7"/>
      <c r="D11" s="22" t="s">
        <v>19</v>
      </c>
      <c r="E11" s="23" t="e">
        <f t="shared" ref="E11:AB11" ca="1" si="0">E10-E13</f>
        <v>#NAME?</v>
      </c>
      <c r="F11" s="23" t="e">
        <f t="shared" ca="1" si="0"/>
        <v>#NAME?</v>
      </c>
      <c r="G11" s="23" t="e">
        <f t="shared" ca="1" si="0"/>
        <v>#NAME?</v>
      </c>
      <c r="H11" s="23" t="e">
        <f t="shared" ca="1" si="0"/>
        <v>#NAME?</v>
      </c>
      <c r="I11" s="23" t="e">
        <f t="shared" ca="1" si="0"/>
        <v>#NAME?</v>
      </c>
      <c r="J11" s="23" t="e">
        <f t="shared" ca="1" si="0"/>
        <v>#NAME?</v>
      </c>
      <c r="K11" s="23" t="e">
        <f t="shared" ca="1" si="0"/>
        <v>#NAME?</v>
      </c>
      <c r="L11" s="23" t="e">
        <f t="shared" ca="1" si="0"/>
        <v>#NAME?</v>
      </c>
      <c r="M11" s="23" t="e">
        <f t="shared" ca="1" si="0"/>
        <v>#NAME?</v>
      </c>
      <c r="N11" s="23" t="e">
        <f t="shared" ca="1" si="0"/>
        <v>#NAME?</v>
      </c>
      <c r="O11" s="23" t="e">
        <f t="shared" ca="1" si="0"/>
        <v>#NAME?</v>
      </c>
      <c r="P11" s="23" t="e">
        <f t="shared" ca="1" si="0"/>
        <v>#NAME?</v>
      </c>
      <c r="Q11" s="23" t="e">
        <f t="shared" ca="1" si="0"/>
        <v>#NAME?</v>
      </c>
      <c r="R11" s="23" t="e">
        <f t="shared" ca="1" si="0"/>
        <v>#NAME?</v>
      </c>
      <c r="S11" s="23" t="e">
        <f t="shared" ca="1" si="0"/>
        <v>#NAME?</v>
      </c>
      <c r="T11" s="23" t="e">
        <f t="shared" ca="1" si="0"/>
        <v>#NAME?</v>
      </c>
      <c r="U11" s="23" t="e">
        <f t="shared" ca="1" si="0"/>
        <v>#NAME?</v>
      </c>
      <c r="V11" s="23" t="e">
        <f t="shared" ca="1" si="0"/>
        <v>#NAME?</v>
      </c>
      <c r="W11" s="23" t="e">
        <f t="shared" ca="1" si="0"/>
        <v>#NAME?</v>
      </c>
      <c r="X11" s="23" t="e">
        <f t="shared" ca="1" si="0"/>
        <v>#NAME?</v>
      </c>
      <c r="Y11" s="23" t="e">
        <f t="shared" ca="1" si="0"/>
        <v>#NAME?</v>
      </c>
      <c r="Z11" s="23" t="e">
        <f t="shared" ca="1" si="0"/>
        <v>#NAME?</v>
      </c>
      <c r="AA11" s="23" t="e">
        <f t="shared" ca="1" si="0"/>
        <v>#NAME?</v>
      </c>
      <c r="AB11" s="24" t="e">
        <f t="shared" ca="1" si="0"/>
        <v>#NAME?</v>
      </c>
      <c r="AC11" s="39" t="e">
        <f t="shared" ref="AC11:AF11" ca="1" si="1">AC10-AC13</f>
        <v>#NAME?</v>
      </c>
      <c r="AD11" s="25" t="e">
        <f t="shared" ca="1" si="1"/>
        <v>#NAME?</v>
      </c>
      <c r="AE11" s="25" t="e">
        <f t="shared" ca="1" si="1"/>
        <v>#NAME?</v>
      </c>
      <c r="AF11" s="25" t="e">
        <f t="shared" ca="1" si="1"/>
        <v>#NAME?</v>
      </c>
      <c r="AG11" s="25" t="e">
        <f t="shared" ref="AG11:AJ11" ca="1" si="2">AG10-AG13</f>
        <v>#NAME?</v>
      </c>
      <c r="AH11" s="25" t="e">
        <f t="shared" ca="1" si="2"/>
        <v>#NAME?</v>
      </c>
      <c r="AI11" s="25" t="e">
        <f t="shared" ca="1" si="2"/>
        <v>#NAME?</v>
      </c>
      <c r="AJ11" s="25" t="e">
        <f t="shared" ca="1" si="2"/>
        <v>#NAME?</v>
      </c>
      <c r="AK11" s="21"/>
      <c r="AL11" s="21"/>
      <c r="AM11" s="3"/>
      <c r="AN11" s="3"/>
    </row>
    <row r="12" spans="2:40" ht="18" customHeight="1" x14ac:dyDescent="0.3">
      <c r="B12" s="7"/>
      <c r="C12" s="7"/>
      <c r="D12" s="22" t="s">
        <v>20</v>
      </c>
      <c r="E12" s="26" t="e">
        <f t="shared" ref="E12:AB12" ca="1" si="3">E11/E10*100</f>
        <v>#NAME?</v>
      </c>
      <c r="F12" s="26" t="e">
        <f t="shared" ca="1" si="3"/>
        <v>#NAME?</v>
      </c>
      <c r="G12" s="26" t="e">
        <f t="shared" ca="1" si="3"/>
        <v>#NAME?</v>
      </c>
      <c r="H12" s="26" t="e">
        <f t="shared" ca="1" si="3"/>
        <v>#NAME?</v>
      </c>
      <c r="I12" s="26" t="e">
        <f t="shared" ca="1" si="3"/>
        <v>#NAME?</v>
      </c>
      <c r="J12" s="26" t="e">
        <f t="shared" ca="1" si="3"/>
        <v>#NAME?</v>
      </c>
      <c r="K12" s="26" t="e">
        <f t="shared" ca="1" si="3"/>
        <v>#NAME?</v>
      </c>
      <c r="L12" s="26" t="e">
        <f t="shared" ca="1" si="3"/>
        <v>#NAME?</v>
      </c>
      <c r="M12" s="26" t="e">
        <f t="shared" ca="1" si="3"/>
        <v>#NAME?</v>
      </c>
      <c r="N12" s="26" t="e">
        <f t="shared" ca="1" si="3"/>
        <v>#NAME?</v>
      </c>
      <c r="O12" s="26" t="e">
        <f t="shared" ca="1" si="3"/>
        <v>#NAME?</v>
      </c>
      <c r="P12" s="26" t="e">
        <f t="shared" ca="1" si="3"/>
        <v>#NAME?</v>
      </c>
      <c r="Q12" s="26" t="e">
        <f t="shared" ca="1" si="3"/>
        <v>#NAME?</v>
      </c>
      <c r="R12" s="26" t="e">
        <f t="shared" ca="1" si="3"/>
        <v>#NAME?</v>
      </c>
      <c r="S12" s="26" t="e">
        <f t="shared" ca="1" si="3"/>
        <v>#NAME?</v>
      </c>
      <c r="T12" s="26" t="e">
        <f t="shared" ca="1" si="3"/>
        <v>#NAME?</v>
      </c>
      <c r="U12" s="26" t="e">
        <f t="shared" ca="1" si="3"/>
        <v>#NAME?</v>
      </c>
      <c r="V12" s="26" t="e">
        <f t="shared" ca="1" si="3"/>
        <v>#NAME?</v>
      </c>
      <c r="W12" s="26" t="e">
        <f t="shared" ca="1" si="3"/>
        <v>#NAME?</v>
      </c>
      <c r="X12" s="26" t="e">
        <f t="shared" ca="1" si="3"/>
        <v>#NAME?</v>
      </c>
      <c r="Y12" s="26" t="e">
        <f t="shared" ca="1" si="3"/>
        <v>#NAME?</v>
      </c>
      <c r="Z12" s="26" t="e">
        <f t="shared" ca="1" si="3"/>
        <v>#NAME?</v>
      </c>
      <c r="AA12" s="26" t="e">
        <f t="shared" ca="1" si="3"/>
        <v>#NAME?</v>
      </c>
      <c r="AB12" s="27" t="e">
        <f t="shared" ca="1" si="3"/>
        <v>#NAME?</v>
      </c>
      <c r="AC12" s="28" t="e">
        <f t="shared" ref="AC12:AF12" ca="1" si="4">AC11/AC10*100</f>
        <v>#NAME?</v>
      </c>
      <c r="AD12" s="29" t="e">
        <f t="shared" ca="1" si="4"/>
        <v>#NAME?</v>
      </c>
      <c r="AE12" s="29" t="e">
        <f t="shared" ca="1" si="4"/>
        <v>#NAME?</v>
      </c>
      <c r="AF12" s="29" t="e">
        <f t="shared" ca="1" si="4"/>
        <v>#NAME?</v>
      </c>
      <c r="AG12" s="29" t="e">
        <f t="shared" ref="AG12:AJ12" ca="1" si="5">AG11/AG10*100</f>
        <v>#NAME?</v>
      </c>
      <c r="AH12" s="29" t="e">
        <f t="shared" ca="1" si="5"/>
        <v>#NAME?</v>
      </c>
      <c r="AI12" s="29" t="e">
        <f t="shared" ca="1" si="5"/>
        <v>#NAME?</v>
      </c>
      <c r="AJ12" s="29" t="e">
        <f t="shared" ca="1" si="5"/>
        <v>#NAME?</v>
      </c>
      <c r="AK12" s="21"/>
      <c r="AL12" s="21"/>
      <c r="AM12" s="3"/>
      <c r="AN12" s="3"/>
    </row>
    <row r="13" spans="2:40" ht="18" customHeight="1" x14ac:dyDescent="0.3">
      <c r="B13" s="7" t="s">
        <v>15</v>
      </c>
      <c r="C13" s="7"/>
      <c r="D13" s="22" t="s">
        <v>18</v>
      </c>
      <c r="E13" s="23" t="e">
        <f ca="1">_xll.BDH($D$4,$B13,E$6,E$6,"Period=FQ","BEST_FPERIOD_OVERRIDE=FQ","FILING_STATUS=MR","SCALING_FORMAT=MLN","FA_ADJUSTED=Adjusted","Sort=A","Dates=H","DateFormat=P","Fill=—","Direction=H","UseDPDF=Y",$G$4)</f>
        <v>#NAME?</v>
      </c>
      <c r="F13" s="23" t="e">
        <f ca="1">_xll.BDH($D$4,$B13,F$6,F$6,"Period=FQ","BEST_FPERIOD_OVERRIDE=FQ","FILING_STATUS=MR","SCALING_FORMAT=MLN","FA_ADJUSTED=Adjusted","Sort=A","Dates=H","DateFormat=P","Fill=—","Direction=H","UseDPDF=Y",$G$4)</f>
        <v>#NAME?</v>
      </c>
      <c r="G13" s="23" t="e">
        <f ca="1">_xll.BDH($D$4,$B13,G$6,G$6,"Period=FQ","BEST_FPERIOD_OVERRIDE=FQ","FILING_STATUS=MR","SCALING_FORMAT=MLN","FA_ADJUSTED=Adjusted","Sort=A","Dates=H","DateFormat=P","Fill=—","Direction=H","UseDPDF=Y",$G$4)</f>
        <v>#NAME?</v>
      </c>
      <c r="H13" s="23" t="e">
        <f ca="1">_xll.BDH($D$4,$B13,H$6,H$6,"Period=FQ","BEST_FPERIOD_OVERRIDE=FQ","FILING_STATUS=MR","SCALING_FORMAT=MLN","FA_ADJUSTED=Adjusted","Sort=A","Dates=H","DateFormat=P","Fill=—","Direction=H","UseDPDF=Y",$G$4)</f>
        <v>#NAME?</v>
      </c>
      <c r="I13" s="23" t="e">
        <f ca="1">_xll.BDH($D$4,$B13,I$6,I$6,"Period=FQ","BEST_FPERIOD_OVERRIDE=FQ","FILING_STATUS=MR","SCALING_FORMAT=MLN","FA_ADJUSTED=Adjusted","Sort=A","Dates=H","DateFormat=P","Fill=—","Direction=H","UseDPDF=Y",$G$4)</f>
        <v>#NAME?</v>
      </c>
      <c r="J13" s="23" t="e">
        <f ca="1">_xll.BDH($D$4,$B13,J$6,J$6,"Period=FQ","BEST_FPERIOD_OVERRIDE=FQ","FILING_STATUS=MR","SCALING_FORMAT=MLN","FA_ADJUSTED=Adjusted","Sort=A","Dates=H","DateFormat=P","Fill=—","Direction=H","UseDPDF=Y",$G$4)</f>
        <v>#NAME?</v>
      </c>
      <c r="K13" s="23" t="e">
        <f ca="1">_xll.BDH($D$4,$B13,K$6,K$6,"Period=FQ","BEST_FPERIOD_OVERRIDE=FQ","FILING_STATUS=MR","SCALING_FORMAT=MLN","FA_ADJUSTED=Adjusted","Sort=A","Dates=H","DateFormat=P","Fill=—","Direction=H","UseDPDF=Y",$G$4)</f>
        <v>#NAME?</v>
      </c>
      <c r="L13" s="23" t="e">
        <f ca="1">_xll.BDH($D$4,$B13,L$6,L$6,"Period=FQ","BEST_FPERIOD_OVERRIDE=FQ","FILING_STATUS=MR","SCALING_FORMAT=MLN","FA_ADJUSTED=Adjusted","Sort=A","Dates=H","DateFormat=P","Fill=—","Direction=H","UseDPDF=Y",$G$4)</f>
        <v>#NAME?</v>
      </c>
      <c r="M13" s="23" t="e">
        <f ca="1">_xll.BDH($D$4,$B13,M$6,M$6,"Period=FQ","BEST_FPERIOD_OVERRIDE=FQ","FILING_STATUS=MR","SCALING_FORMAT=MLN","FA_ADJUSTED=Adjusted","Sort=A","Dates=H","DateFormat=P","Fill=—","Direction=H","UseDPDF=Y",$G$4)</f>
        <v>#NAME?</v>
      </c>
      <c r="N13" s="23" t="e">
        <f ca="1">_xll.BDH($D$4,$B13,N$6,N$6,"Period=FQ","BEST_FPERIOD_OVERRIDE=FQ","FILING_STATUS=MR","SCALING_FORMAT=MLN","FA_ADJUSTED=Adjusted","Sort=A","Dates=H","DateFormat=P","Fill=—","Direction=H","UseDPDF=Y",$G$4)</f>
        <v>#NAME?</v>
      </c>
      <c r="O13" s="23" t="e">
        <f ca="1">_xll.BDH($D$4,$B13,O$6,O$6,"Period=FQ","BEST_FPERIOD_OVERRIDE=FQ","FILING_STATUS=MR","SCALING_FORMAT=MLN","FA_ADJUSTED=Adjusted","Sort=A","Dates=H","DateFormat=P","Fill=—","Direction=H","UseDPDF=Y",$G$4)</f>
        <v>#NAME?</v>
      </c>
      <c r="P13" s="23" t="e">
        <f ca="1">_xll.BDH($D$4,$B13,P$6,P$6,"Period=FQ","BEST_FPERIOD_OVERRIDE=FQ","FILING_STATUS=MR","SCALING_FORMAT=MLN","FA_ADJUSTED=Adjusted","Sort=A","Dates=H","DateFormat=P","Fill=—","Direction=H","UseDPDF=Y",$G$4)</f>
        <v>#NAME?</v>
      </c>
      <c r="Q13" s="23" t="e">
        <f ca="1">_xll.BDH($D$4,$B13,Q$6,Q$6,"Period=FQ","BEST_FPERIOD_OVERRIDE=FQ","FILING_STATUS=MR","SCALING_FORMAT=MLN","FA_ADJUSTED=Adjusted","Sort=A","Dates=H","DateFormat=P","Fill=—","Direction=H","UseDPDF=Y",$G$4)</f>
        <v>#NAME?</v>
      </c>
      <c r="R13" s="23" t="e">
        <f ca="1">_xll.BDH($D$4,$B13,R$6,R$6,"Period=FQ","BEST_FPERIOD_OVERRIDE=FQ","FILING_STATUS=MR","SCALING_FORMAT=MLN","FA_ADJUSTED=Adjusted","Sort=A","Dates=H","DateFormat=P","Fill=—","Direction=H","UseDPDF=Y",$G$4)</f>
        <v>#NAME?</v>
      </c>
      <c r="S13" s="23" t="e">
        <f ca="1">_xll.BDH($D$4,$B13,S$6,S$6,"Period=FQ","BEST_FPERIOD_OVERRIDE=FQ","FILING_STATUS=MR","SCALING_FORMAT=MLN","FA_ADJUSTED=Adjusted","Sort=A","Dates=H","DateFormat=P","Fill=—","Direction=H","UseDPDF=Y",$G$4)</f>
        <v>#NAME?</v>
      </c>
      <c r="T13" s="23" t="e">
        <f ca="1">_xll.BDH($D$4,$B13,T$6,T$6,"Period=FQ","BEST_FPERIOD_OVERRIDE=FQ","FILING_STATUS=MR","SCALING_FORMAT=MLN","FA_ADJUSTED=Adjusted","Sort=A","Dates=H","DateFormat=P","Fill=—","Direction=H","UseDPDF=Y",$G$4)</f>
        <v>#NAME?</v>
      </c>
      <c r="U13" s="23" t="e">
        <f ca="1">_xll.BDH($D$4,$B13,U$6,U$6,"Period=FQ","BEST_FPERIOD_OVERRIDE=FQ","FILING_STATUS=MR","SCALING_FORMAT=MLN","FA_ADJUSTED=Adjusted","Sort=A","Dates=H","DateFormat=P","Fill=—","Direction=H","UseDPDF=Y",$G$4)</f>
        <v>#NAME?</v>
      </c>
      <c r="V13" s="23" t="e">
        <f ca="1">_xll.BDH($D$4,$B13,V$6,V$6,"Period=FQ","BEST_FPERIOD_OVERRIDE=FQ","FILING_STATUS=MR","SCALING_FORMAT=MLN","FA_ADJUSTED=Adjusted","Sort=A","Dates=H","DateFormat=P","Fill=—","Direction=H","UseDPDF=Y",$G$4)</f>
        <v>#NAME?</v>
      </c>
      <c r="W13" s="23" t="e">
        <f ca="1">_xll.BDH($D$4,$B13,W$6,W$6,"Period=FQ","BEST_FPERIOD_OVERRIDE=FQ","FILING_STATUS=MR","SCALING_FORMAT=MLN","FA_ADJUSTED=Adjusted","Sort=A","Dates=H","DateFormat=P","Fill=—","Direction=H","UseDPDF=Y",$G$4)</f>
        <v>#NAME?</v>
      </c>
      <c r="X13" s="23" t="e">
        <f ca="1">_xll.BDH($D$4,$B13,X$6,X$6,"Period=FQ","BEST_FPERIOD_OVERRIDE=FQ","FILING_STATUS=MR","SCALING_FORMAT=MLN","FA_ADJUSTED=Adjusted","Sort=A","Dates=H","DateFormat=P","Fill=—","Direction=H","UseDPDF=Y",$G$4)</f>
        <v>#NAME?</v>
      </c>
      <c r="Y13" s="23" t="e">
        <f ca="1">_xll.BDH($D$4,$B13,Y$6,Y$6,"Period=FQ","BEST_FPERIOD_OVERRIDE=FQ","FILING_STATUS=MR","SCALING_FORMAT=MLN","FA_ADJUSTED=Adjusted","Sort=A","Dates=H","DateFormat=P","Fill=—","Direction=H","UseDPDF=Y",$G$4)</f>
        <v>#NAME?</v>
      </c>
      <c r="Z13" s="23" t="e">
        <f ca="1">_xll.BDH($D$4,$B13,Z$6,Z$6,"Period=FQ","BEST_FPERIOD_OVERRIDE=FQ","FILING_STATUS=MR","SCALING_FORMAT=MLN","FA_ADJUSTED=Adjusted","Sort=A","Dates=H","DateFormat=P","Fill=—","Direction=H","UseDPDF=Y",$G$4)</f>
        <v>#NAME?</v>
      </c>
      <c r="AA13" s="23" t="e">
        <f ca="1">_xll.BDH($D$4,$B13,AA$6,AA$6,"Period=FQ","BEST_FPERIOD_OVERRIDE=FQ","FILING_STATUS=MR","SCALING_FORMAT=MLN","FA_ADJUSTED=Adjusted","Sort=A","Dates=H","DateFormat=P","Fill=—","Direction=H","UseDPDF=Y",$G$4)</f>
        <v>#NAME?</v>
      </c>
      <c r="AB13" s="24" t="e">
        <f ca="1">_xll.BDH($D$4,$B13,AB$6,AB$6,"Period=FQ","BEST_FPERIOD_OVERRIDE=FQ","FILING_STATUS=MR","SCALING_FORMAT=MLN","FA_ADJUSTED=Adjusted","Sort=A","Dates=H","DateFormat=P","Fill=—","Direction=H","UseDPDF=Y",$G$4)</f>
        <v>#NAME?</v>
      </c>
      <c r="AC13" s="39" t="e">
        <f ca="1">_xll.BDH($D$4,$B13,AC$6,AC$6,"Period=FQ","BEST_FPERIOD_OVERRIDE=FQ","FILING_STATUS=MR","SCALING_FORMAT=MLN","FA_ADJUSTED=Adjusted","Sort=A","Dates=H","DateFormat=P","Fill=—","Direction=H","UseDPDF=Y",$G$4)</f>
        <v>#NAME?</v>
      </c>
      <c r="AD13" s="25" t="e">
        <f t="shared" ref="AD13:AJ13" ca="1" si="6">AD10*AD14/100</f>
        <v>#NAME?</v>
      </c>
      <c r="AE13" s="25" t="e">
        <f t="shared" ca="1" si="6"/>
        <v>#NAME?</v>
      </c>
      <c r="AF13" s="25" t="e">
        <f t="shared" ca="1" si="6"/>
        <v>#NAME?</v>
      </c>
      <c r="AG13" s="25" t="e">
        <f t="shared" ca="1" si="6"/>
        <v>#NAME?</v>
      </c>
      <c r="AH13" s="25" t="e">
        <f t="shared" ca="1" si="6"/>
        <v>#NAME?</v>
      </c>
      <c r="AI13" s="25" t="e">
        <f t="shared" ca="1" si="6"/>
        <v>#NAME?</v>
      </c>
      <c r="AJ13" s="25" t="e">
        <f t="shared" ca="1" si="6"/>
        <v>#NAME?</v>
      </c>
      <c r="AK13" s="21"/>
      <c r="AL13" s="21"/>
      <c r="AM13" s="3"/>
      <c r="AN13" s="3"/>
    </row>
    <row r="14" spans="2:40" ht="18" customHeight="1" x14ac:dyDescent="0.3">
      <c r="C14" s="7" t="s">
        <v>16</v>
      </c>
      <c r="D14" s="22" t="s">
        <v>17</v>
      </c>
      <c r="E14" s="26" t="e">
        <f t="shared" ref="E14:AB14" ca="1" si="7">E13/E10*100</f>
        <v>#NAME?</v>
      </c>
      <c r="F14" s="26" t="e">
        <f t="shared" ca="1" si="7"/>
        <v>#NAME?</v>
      </c>
      <c r="G14" s="26" t="e">
        <f t="shared" ca="1" si="7"/>
        <v>#NAME?</v>
      </c>
      <c r="H14" s="26" t="e">
        <f t="shared" ca="1" si="7"/>
        <v>#NAME?</v>
      </c>
      <c r="I14" s="26" t="e">
        <f t="shared" ca="1" si="7"/>
        <v>#NAME?</v>
      </c>
      <c r="J14" s="26" t="e">
        <f t="shared" ca="1" si="7"/>
        <v>#NAME?</v>
      </c>
      <c r="K14" s="26" t="e">
        <f t="shared" ca="1" si="7"/>
        <v>#NAME?</v>
      </c>
      <c r="L14" s="26" t="e">
        <f t="shared" ca="1" si="7"/>
        <v>#NAME?</v>
      </c>
      <c r="M14" s="26" t="e">
        <f t="shared" ca="1" si="7"/>
        <v>#NAME?</v>
      </c>
      <c r="N14" s="26" t="e">
        <f t="shared" ca="1" si="7"/>
        <v>#NAME?</v>
      </c>
      <c r="O14" s="26" t="e">
        <f t="shared" ca="1" si="7"/>
        <v>#NAME?</v>
      </c>
      <c r="P14" s="26" t="e">
        <f t="shared" ca="1" si="7"/>
        <v>#NAME?</v>
      </c>
      <c r="Q14" s="26" t="e">
        <f t="shared" ca="1" si="7"/>
        <v>#NAME?</v>
      </c>
      <c r="R14" s="26" t="e">
        <f t="shared" ca="1" si="7"/>
        <v>#NAME?</v>
      </c>
      <c r="S14" s="26" t="e">
        <f t="shared" ca="1" si="7"/>
        <v>#NAME?</v>
      </c>
      <c r="T14" s="26" t="e">
        <f t="shared" ca="1" si="7"/>
        <v>#NAME?</v>
      </c>
      <c r="U14" s="26" t="e">
        <f t="shared" ca="1" si="7"/>
        <v>#NAME?</v>
      </c>
      <c r="V14" s="26" t="e">
        <f t="shared" ca="1" si="7"/>
        <v>#NAME?</v>
      </c>
      <c r="W14" s="26" t="e">
        <f t="shared" ca="1" si="7"/>
        <v>#NAME?</v>
      </c>
      <c r="X14" s="26" t="e">
        <f t="shared" ca="1" si="7"/>
        <v>#NAME?</v>
      </c>
      <c r="Y14" s="26" t="e">
        <f t="shared" ca="1" si="7"/>
        <v>#NAME?</v>
      </c>
      <c r="Z14" s="26" t="e">
        <f t="shared" ca="1" si="7"/>
        <v>#NAME?</v>
      </c>
      <c r="AA14" s="26" t="e">
        <f t="shared" ca="1" si="7"/>
        <v>#NAME?</v>
      </c>
      <c r="AB14" s="27" t="e">
        <f t="shared" ca="1" si="7"/>
        <v>#NAME?</v>
      </c>
      <c r="AC14" s="28" t="e">
        <f t="shared" ref="AC14" ca="1" si="8">AC13/AC10*100</f>
        <v>#NAME?</v>
      </c>
      <c r="AD14" s="29" t="e">
        <f ca="1">_xll.BDP($D$4,$C14,AD$6,$G$4)</f>
        <v>#NAME?</v>
      </c>
      <c r="AE14" s="29" t="e">
        <f ca="1">_xll.BDP($D$4,$C14,AE$6,$G$4)</f>
        <v>#NAME?</v>
      </c>
      <c r="AF14" s="29" t="e">
        <f ca="1">_xll.BDP($D$4,$C14,AF$6,$G$4)</f>
        <v>#NAME?</v>
      </c>
      <c r="AG14" s="29" t="e">
        <f ca="1">_xll.BDP($D$4,$C14,AG$6,$G$4)</f>
        <v>#NAME?</v>
      </c>
      <c r="AH14" s="29" t="e">
        <f ca="1">_xll.BDP($D$4,$C14,AH$6,$G$4)</f>
        <v>#NAME?</v>
      </c>
      <c r="AI14" s="29" t="e">
        <f ca="1">_xll.BDP($D$4,$C14,AI$6,$G$4)</f>
        <v>#NAME?</v>
      </c>
      <c r="AJ14" s="29" t="e">
        <f ca="1">_xll.BDP($D$4,$C14,AJ$6,$G$4)</f>
        <v>#NAME?</v>
      </c>
      <c r="AK14" s="21"/>
      <c r="AL14" s="21"/>
      <c r="AM14" s="3"/>
      <c r="AN14" s="3"/>
    </row>
    <row r="15" spans="2:40" ht="18" customHeight="1" x14ac:dyDescent="0.3">
      <c r="B15" s="7" t="s">
        <v>6</v>
      </c>
      <c r="C15" s="7" t="s">
        <v>9</v>
      </c>
      <c r="D15" s="22" t="s">
        <v>14</v>
      </c>
      <c r="E15" s="23" t="e">
        <f ca="1">_xll.BDH($D$4,$B15,E$6,E$6,"Period=FQ","BEST_FPERIOD_OVERRIDE=FQ","FILING_STATUS=MR","SCALING_FORMAT=MLN","FA_ADJUSTED=Adjusted","Sort=A","Dates=H","DateFormat=P","Fill=—","Direction=H","UseDPDF=Y",$G$4)</f>
        <v>#NAME?</v>
      </c>
      <c r="F15" s="23" t="e">
        <f ca="1">_xll.BDH($D$4,$B15,F$6,F$6,"Period=FQ","BEST_FPERIOD_OVERRIDE=FQ","FILING_STATUS=MR","SCALING_FORMAT=MLN","FA_ADJUSTED=Adjusted","Sort=A","Dates=H","DateFormat=P","Fill=—","Direction=H","UseDPDF=Y",$G$4)</f>
        <v>#NAME?</v>
      </c>
      <c r="G15" s="23" t="e">
        <f ca="1">_xll.BDH($D$4,$B15,G$6,G$6,"Period=FQ","BEST_FPERIOD_OVERRIDE=FQ","FILING_STATUS=MR","SCALING_FORMAT=MLN","FA_ADJUSTED=Adjusted","Sort=A","Dates=H","DateFormat=P","Fill=—","Direction=H","UseDPDF=Y",$G$4)</f>
        <v>#NAME?</v>
      </c>
      <c r="H15" s="23" t="e">
        <f ca="1">_xll.BDH($D$4,$B15,H$6,H$6,"Period=FQ","BEST_FPERIOD_OVERRIDE=FQ","FILING_STATUS=MR","SCALING_FORMAT=MLN","FA_ADJUSTED=Adjusted","Sort=A","Dates=H","DateFormat=P","Fill=—","Direction=H","UseDPDF=Y",$G$4)</f>
        <v>#NAME?</v>
      </c>
      <c r="I15" s="23" t="e">
        <f ca="1">_xll.BDH($D$4,$B15,I$6,I$6,"Period=FQ","BEST_FPERIOD_OVERRIDE=FQ","FILING_STATUS=MR","SCALING_FORMAT=MLN","FA_ADJUSTED=Adjusted","Sort=A","Dates=H","DateFormat=P","Fill=—","Direction=H","UseDPDF=Y",$G$4)</f>
        <v>#NAME?</v>
      </c>
      <c r="J15" s="23" t="e">
        <f ca="1">_xll.BDH($D$4,$B15,J$6,J$6,"Period=FQ","BEST_FPERIOD_OVERRIDE=FQ","FILING_STATUS=MR","SCALING_FORMAT=MLN","FA_ADJUSTED=Adjusted","Sort=A","Dates=H","DateFormat=P","Fill=—","Direction=H","UseDPDF=Y",$G$4)</f>
        <v>#NAME?</v>
      </c>
      <c r="K15" s="23" t="e">
        <f ca="1">_xll.BDH($D$4,$B15,K$6,K$6,"Period=FQ","BEST_FPERIOD_OVERRIDE=FQ","FILING_STATUS=MR","SCALING_FORMAT=MLN","FA_ADJUSTED=Adjusted","Sort=A","Dates=H","DateFormat=P","Fill=—","Direction=H","UseDPDF=Y",$G$4)</f>
        <v>#NAME?</v>
      </c>
      <c r="L15" s="23" t="e">
        <f ca="1">_xll.BDH($D$4,$B15,L$6,L$6,"Period=FQ","BEST_FPERIOD_OVERRIDE=FQ","FILING_STATUS=MR","SCALING_FORMAT=MLN","FA_ADJUSTED=Adjusted","Sort=A","Dates=H","DateFormat=P","Fill=—","Direction=H","UseDPDF=Y",$G$4)</f>
        <v>#NAME?</v>
      </c>
      <c r="M15" s="23" t="e">
        <f ca="1">_xll.BDH($D$4,$B15,M$6,M$6,"Period=FQ","BEST_FPERIOD_OVERRIDE=FQ","FILING_STATUS=MR","SCALING_FORMAT=MLN","FA_ADJUSTED=Adjusted","Sort=A","Dates=H","DateFormat=P","Fill=—","Direction=H","UseDPDF=Y",$G$4)</f>
        <v>#NAME?</v>
      </c>
      <c r="N15" s="23" t="e">
        <f ca="1">_xll.BDH($D$4,$B15,N$6,N$6,"Period=FQ","BEST_FPERIOD_OVERRIDE=FQ","FILING_STATUS=MR","SCALING_FORMAT=MLN","FA_ADJUSTED=Adjusted","Sort=A","Dates=H","DateFormat=P","Fill=—","Direction=H","UseDPDF=Y",$G$4)</f>
        <v>#NAME?</v>
      </c>
      <c r="O15" s="23" t="e">
        <f ca="1">_xll.BDH($D$4,$B15,O$6,O$6,"Period=FQ","BEST_FPERIOD_OVERRIDE=FQ","FILING_STATUS=MR","SCALING_FORMAT=MLN","FA_ADJUSTED=Adjusted","Sort=A","Dates=H","DateFormat=P","Fill=—","Direction=H","UseDPDF=Y",$G$4)</f>
        <v>#NAME?</v>
      </c>
      <c r="P15" s="23" t="e">
        <f ca="1">_xll.BDH($D$4,$B15,P$6,P$6,"Period=FQ","BEST_FPERIOD_OVERRIDE=FQ","FILING_STATUS=MR","SCALING_FORMAT=MLN","FA_ADJUSTED=Adjusted","Sort=A","Dates=H","DateFormat=P","Fill=—","Direction=H","UseDPDF=Y",$G$4)</f>
        <v>#NAME?</v>
      </c>
      <c r="Q15" s="23" t="e">
        <f ca="1">_xll.BDH($D$4,$B15,Q$6,Q$6,"Period=FQ","BEST_FPERIOD_OVERRIDE=FQ","FILING_STATUS=MR","SCALING_FORMAT=MLN","FA_ADJUSTED=Adjusted","Sort=A","Dates=H","DateFormat=P","Fill=—","Direction=H","UseDPDF=Y",$G$4)</f>
        <v>#NAME?</v>
      </c>
      <c r="R15" s="23" t="e">
        <f ca="1">_xll.BDH($D$4,$B15,R$6,R$6,"Period=FQ","BEST_FPERIOD_OVERRIDE=FQ","FILING_STATUS=MR","SCALING_FORMAT=MLN","FA_ADJUSTED=Adjusted","Sort=A","Dates=H","DateFormat=P","Fill=—","Direction=H","UseDPDF=Y",$G$4)</f>
        <v>#NAME?</v>
      </c>
      <c r="S15" s="23" t="e">
        <f ca="1">_xll.BDH($D$4,$B15,S$6,S$6,"Period=FQ","BEST_FPERIOD_OVERRIDE=FQ","FILING_STATUS=MR","SCALING_FORMAT=MLN","FA_ADJUSTED=Adjusted","Sort=A","Dates=H","DateFormat=P","Fill=—","Direction=H","UseDPDF=Y",$G$4)</f>
        <v>#NAME?</v>
      </c>
      <c r="T15" s="23" t="e">
        <f ca="1">_xll.BDH($D$4,$B15,T$6,T$6,"Period=FQ","BEST_FPERIOD_OVERRIDE=FQ","FILING_STATUS=MR","SCALING_FORMAT=MLN","FA_ADJUSTED=Adjusted","Sort=A","Dates=H","DateFormat=P","Fill=—","Direction=H","UseDPDF=Y",$G$4)</f>
        <v>#NAME?</v>
      </c>
      <c r="U15" s="23" t="e">
        <f ca="1">_xll.BDH($D$4,$B15,U$6,U$6,"Period=FQ","BEST_FPERIOD_OVERRIDE=FQ","FILING_STATUS=MR","SCALING_FORMAT=MLN","FA_ADJUSTED=Adjusted","Sort=A","Dates=H","DateFormat=P","Fill=—","Direction=H","UseDPDF=Y",$G$4)</f>
        <v>#NAME?</v>
      </c>
      <c r="V15" s="23" t="e">
        <f ca="1">_xll.BDH($D$4,$B15,V$6,V$6,"Period=FQ","BEST_FPERIOD_OVERRIDE=FQ","FILING_STATUS=MR","SCALING_FORMAT=MLN","FA_ADJUSTED=Adjusted","Sort=A","Dates=H","DateFormat=P","Fill=—","Direction=H","UseDPDF=Y",$G$4)</f>
        <v>#NAME?</v>
      </c>
      <c r="W15" s="23" t="e">
        <f ca="1">_xll.BDH($D$4,$B15,W$6,W$6,"Period=FQ","BEST_FPERIOD_OVERRIDE=FQ","FILING_STATUS=MR","SCALING_FORMAT=MLN","FA_ADJUSTED=Adjusted","Sort=A","Dates=H","DateFormat=P","Fill=—","Direction=H","UseDPDF=Y",$G$4)</f>
        <v>#NAME?</v>
      </c>
      <c r="X15" s="23" t="e">
        <f ca="1">_xll.BDH($D$4,$B15,X$6,X$6,"Period=FQ","BEST_FPERIOD_OVERRIDE=FQ","FILING_STATUS=MR","SCALING_FORMAT=MLN","FA_ADJUSTED=Adjusted","Sort=A","Dates=H","DateFormat=P","Fill=—","Direction=H","UseDPDF=Y",$G$4)</f>
        <v>#NAME?</v>
      </c>
      <c r="Y15" s="23" t="e">
        <f ca="1">_xll.BDH($D$4,$B15,Y$6,Y$6,"Period=FQ","BEST_FPERIOD_OVERRIDE=FQ","FILING_STATUS=MR","SCALING_FORMAT=MLN","FA_ADJUSTED=Adjusted","Sort=A","Dates=H","DateFormat=P","Fill=—","Direction=H","UseDPDF=Y",$G$4)</f>
        <v>#NAME?</v>
      </c>
      <c r="Z15" s="23" t="e">
        <f ca="1">_xll.BDH($D$4,$B15,Z$6,Z$6,"Period=FQ","BEST_FPERIOD_OVERRIDE=FQ","FILING_STATUS=MR","SCALING_FORMAT=MLN","FA_ADJUSTED=Adjusted","Sort=A","Dates=H","DateFormat=P","Fill=—","Direction=H","UseDPDF=Y",$G$4)</f>
        <v>#NAME?</v>
      </c>
      <c r="AA15" s="23" t="e">
        <f ca="1">_xll.BDH($D$4,$B15,AA$6,AA$6,"Period=FQ","BEST_FPERIOD_OVERRIDE=FQ","FILING_STATUS=MR","SCALING_FORMAT=MLN","FA_ADJUSTED=Adjusted","Sort=A","Dates=H","DateFormat=P","Fill=—","Direction=H","UseDPDF=Y",$G$4)</f>
        <v>#NAME?</v>
      </c>
      <c r="AB15" s="24" t="e">
        <f ca="1">_xll.BDH($D$4,$B15,AB$6,AB$6,"Period=FQ","BEST_FPERIOD_OVERRIDE=FQ","FILING_STATUS=MR","SCALING_FORMAT=MLN","FA_ADJUSTED=Adjusted","Sort=A","Dates=H","DateFormat=P","Fill=—","Direction=H","UseDPDF=Y",$G$4)</f>
        <v>#NAME?</v>
      </c>
      <c r="AC15" s="39" t="e">
        <f ca="1">_xll.BDH($D$4,$B15,AC$6,AC$6,"Period=FQ","BEST_FPERIOD_OVERRIDE=FQ","FILING_STATUS=MR","SCALING_FORMAT=MLN","FA_ADJUSTED=Adjusted","Sort=A","Dates=H","DateFormat=P","Fill=—","Direction=H","UseDPDF=Y",$G$4)</f>
        <v>#NAME?</v>
      </c>
      <c r="AD15" s="25" t="e">
        <f ca="1">_xll.BDP($D$4,$C15,AD$6,$G$4)</f>
        <v>#NAME?</v>
      </c>
      <c r="AE15" s="25" t="e">
        <f ca="1">_xll.BDP($D$4,$C15,AE$6,$G$4)</f>
        <v>#NAME?</v>
      </c>
      <c r="AF15" s="25" t="e">
        <f ca="1">_xll.BDP($D$4,$C15,AF$6,$G$4)</f>
        <v>#NAME?</v>
      </c>
      <c r="AG15" s="25" t="e">
        <f ca="1">_xll.BDP($D$4,$C15,AG$6,$G$4)</f>
        <v>#NAME?</v>
      </c>
      <c r="AH15" s="25" t="e">
        <f ca="1">_xll.BDP($D$4,$C15,AH$6,$G$4)</f>
        <v>#NAME?</v>
      </c>
      <c r="AI15" s="25" t="e">
        <f ca="1">_xll.BDP($D$4,$C15,AI$6,$G$4)</f>
        <v>#NAME?</v>
      </c>
      <c r="AJ15" s="25" t="e">
        <f ca="1">_xll.BDP($D$4,$C15,AJ$6,$G$4)</f>
        <v>#NAME?</v>
      </c>
      <c r="AK15" s="21"/>
      <c r="AL15" s="21"/>
      <c r="AM15" s="3"/>
      <c r="AN15" s="3"/>
    </row>
    <row r="16" spans="2:40" ht="18" customHeight="1" x14ac:dyDescent="0.3">
      <c r="B16" s="7"/>
      <c r="C16" s="7"/>
      <c r="D16" s="22" t="s">
        <v>2</v>
      </c>
      <c r="E16" s="26" t="e">
        <f t="shared" ref="E16:AB16" ca="1" si="9">E15/E10*100</f>
        <v>#NAME?</v>
      </c>
      <c r="F16" s="26" t="e">
        <f t="shared" ca="1" si="9"/>
        <v>#NAME?</v>
      </c>
      <c r="G16" s="26" t="e">
        <f t="shared" ca="1" si="9"/>
        <v>#NAME?</v>
      </c>
      <c r="H16" s="26" t="e">
        <f t="shared" ca="1" si="9"/>
        <v>#NAME?</v>
      </c>
      <c r="I16" s="26" t="e">
        <f t="shared" ca="1" si="9"/>
        <v>#NAME?</v>
      </c>
      <c r="J16" s="26" t="e">
        <f t="shared" ca="1" si="9"/>
        <v>#NAME?</v>
      </c>
      <c r="K16" s="26" t="e">
        <f t="shared" ca="1" si="9"/>
        <v>#NAME?</v>
      </c>
      <c r="L16" s="26" t="e">
        <f t="shared" ca="1" si="9"/>
        <v>#NAME?</v>
      </c>
      <c r="M16" s="26" t="e">
        <f t="shared" ca="1" si="9"/>
        <v>#NAME?</v>
      </c>
      <c r="N16" s="26" t="e">
        <f t="shared" ca="1" si="9"/>
        <v>#NAME?</v>
      </c>
      <c r="O16" s="26" t="e">
        <f t="shared" ca="1" si="9"/>
        <v>#NAME?</v>
      </c>
      <c r="P16" s="26" t="e">
        <f t="shared" ca="1" si="9"/>
        <v>#NAME?</v>
      </c>
      <c r="Q16" s="26" t="e">
        <f t="shared" ca="1" si="9"/>
        <v>#NAME?</v>
      </c>
      <c r="R16" s="26" t="e">
        <f t="shared" ca="1" si="9"/>
        <v>#NAME?</v>
      </c>
      <c r="S16" s="26" t="e">
        <f t="shared" ca="1" si="9"/>
        <v>#NAME?</v>
      </c>
      <c r="T16" s="26" t="e">
        <f t="shared" ca="1" si="9"/>
        <v>#NAME?</v>
      </c>
      <c r="U16" s="26" t="e">
        <f t="shared" ca="1" si="9"/>
        <v>#NAME?</v>
      </c>
      <c r="V16" s="26" t="e">
        <f t="shared" ca="1" si="9"/>
        <v>#NAME?</v>
      </c>
      <c r="W16" s="26" t="e">
        <f t="shared" ca="1" si="9"/>
        <v>#NAME?</v>
      </c>
      <c r="X16" s="26" t="e">
        <f t="shared" ca="1" si="9"/>
        <v>#NAME?</v>
      </c>
      <c r="Y16" s="26" t="e">
        <f t="shared" ca="1" si="9"/>
        <v>#NAME?</v>
      </c>
      <c r="Z16" s="26" t="e">
        <f t="shared" ca="1" si="9"/>
        <v>#NAME?</v>
      </c>
      <c r="AA16" s="26" t="e">
        <f t="shared" ca="1" si="9"/>
        <v>#NAME?</v>
      </c>
      <c r="AB16" s="27" t="e">
        <f t="shared" ca="1" si="9"/>
        <v>#NAME?</v>
      </c>
      <c r="AC16" s="28" t="e">
        <f t="shared" ref="AC16:AF16" ca="1" si="10">AC15/AC10*100</f>
        <v>#NAME?</v>
      </c>
      <c r="AD16" s="29" t="e">
        <f t="shared" ca="1" si="10"/>
        <v>#NAME?</v>
      </c>
      <c r="AE16" s="29" t="e">
        <f t="shared" ca="1" si="10"/>
        <v>#NAME?</v>
      </c>
      <c r="AF16" s="29" t="e">
        <f t="shared" ca="1" si="10"/>
        <v>#NAME?</v>
      </c>
      <c r="AG16" s="29" t="e">
        <f t="shared" ref="AG16:AJ16" ca="1" si="11">AG15/AG10*100</f>
        <v>#NAME?</v>
      </c>
      <c r="AH16" s="29" t="e">
        <f t="shared" ca="1" si="11"/>
        <v>#NAME?</v>
      </c>
      <c r="AI16" s="29" t="e">
        <f t="shared" ca="1" si="11"/>
        <v>#NAME?</v>
      </c>
      <c r="AJ16" s="29" t="e">
        <f t="shared" ca="1" si="11"/>
        <v>#NAME?</v>
      </c>
      <c r="AK16" s="21"/>
      <c r="AL16" s="21"/>
      <c r="AM16" s="3"/>
      <c r="AN16" s="3"/>
    </row>
    <row r="17" spans="2:40" ht="18" customHeight="1" x14ac:dyDescent="0.3">
      <c r="B17" s="7" t="s">
        <v>21</v>
      </c>
      <c r="C17" s="7" t="s">
        <v>23</v>
      </c>
      <c r="D17" s="22" t="s">
        <v>21</v>
      </c>
      <c r="E17" s="23" t="e">
        <f ca="1">_xll.BDH($D$4,$B17,E$6,E$6,"Period=FQ","BEST_FPERIOD_OVERRIDE=FQ","FILING_STATUS=MR","SCALING_FORMAT=MLN","FA_ADJUSTED=Adjusted","Sort=A","Dates=H","DateFormat=P","Fill=—","Direction=H","UseDPDF=Y",$G$4)</f>
        <v>#NAME?</v>
      </c>
      <c r="F17" s="23" t="e">
        <f ca="1">_xll.BDH($D$4,$B17,F$6,F$6,"Period=FQ","BEST_FPERIOD_OVERRIDE=FQ","FILING_STATUS=MR","SCALING_FORMAT=MLN","FA_ADJUSTED=Adjusted","Sort=A","Dates=H","DateFormat=P","Fill=—","Direction=H","UseDPDF=Y",$G$4)</f>
        <v>#NAME?</v>
      </c>
      <c r="G17" s="23" t="e">
        <f ca="1">_xll.BDH($D$4,$B17,G$6,G$6,"Period=FQ","BEST_FPERIOD_OVERRIDE=FQ","FILING_STATUS=MR","SCALING_FORMAT=MLN","FA_ADJUSTED=Adjusted","Sort=A","Dates=H","DateFormat=P","Fill=—","Direction=H","UseDPDF=Y",$G$4)</f>
        <v>#NAME?</v>
      </c>
      <c r="H17" s="23" t="e">
        <f ca="1">_xll.BDH($D$4,$B17,H$6,H$6,"Period=FQ","BEST_FPERIOD_OVERRIDE=FQ","FILING_STATUS=MR","SCALING_FORMAT=MLN","FA_ADJUSTED=Adjusted","Sort=A","Dates=H","DateFormat=P","Fill=—","Direction=H","UseDPDF=Y",$G$4)</f>
        <v>#NAME?</v>
      </c>
      <c r="I17" s="23" t="e">
        <f ca="1">_xll.BDH($D$4,$B17,I$6,I$6,"Period=FQ","BEST_FPERIOD_OVERRIDE=FQ","FILING_STATUS=MR","SCALING_FORMAT=MLN","FA_ADJUSTED=Adjusted","Sort=A","Dates=H","DateFormat=P","Fill=—","Direction=H","UseDPDF=Y",$G$4)</f>
        <v>#NAME?</v>
      </c>
      <c r="J17" s="23" t="e">
        <f ca="1">_xll.BDH($D$4,$B17,J$6,J$6,"Period=FQ","BEST_FPERIOD_OVERRIDE=FQ","FILING_STATUS=MR","SCALING_FORMAT=MLN","FA_ADJUSTED=Adjusted","Sort=A","Dates=H","DateFormat=P","Fill=—","Direction=H","UseDPDF=Y",$G$4)</f>
        <v>#NAME?</v>
      </c>
      <c r="K17" s="23" t="e">
        <f ca="1">_xll.BDH($D$4,$B17,K$6,K$6,"Period=FQ","BEST_FPERIOD_OVERRIDE=FQ","FILING_STATUS=MR","SCALING_FORMAT=MLN","FA_ADJUSTED=Adjusted","Sort=A","Dates=H","DateFormat=P","Fill=—","Direction=H","UseDPDF=Y",$G$4)</f>
        <v>#NAME?</v>
      </c>
      <c r="L17" s="23" t="e">
        <f ca="1">_xll.BDH($D$4,$B17,L$6,L$6,"Period=FQ","BEST_FPERIOD_OVERRIDE=FQ","FILING_STATUS=MR","SCALING_FORMAT=MLN","FA_ADJUSTED=Adjusted","Sort=A","Dates=H","DateFormat=P","Fill=—","Direction=H","UseDPDF=Y",$G$4)</f>
        <v>#NAME?</v>
      </c>
      <c r="M17" s="23" t="e">
        <f ca="1">_xll.BDH($D$4,$B17,M$6,M$6,"Period=FQ","BEST_FPERIOD_OVERRIDE=FQ","FILING_STATUS=MR","SCALING_FORMAT=MLN","FA_ADJUSTED=Adjusted","Sort=A","Dates=H","DateFormat=P","Fill=—","Direction=H","UseDPDF=Y",$G$4)</f>
        <v>#NAME?</v>
      </c>
      <c r="N17" s="23" t="e">
        <f ca="1">_xll.BDH($D$4,$B17,N$6,N$6,"Period=FQ","BEST_FPERIOD_OVERRIDE=FQ","FILING_STATUS=MR","SCALING_FORMAT=MLN","FA_ADJUSTED=Adjusted","Sort=A","Dates=H","DateFormat=P","Fill=—","Direction=H","UseDPDF=Y",$G$4)</f>
        <v>#NAME?</v>
      </c>
      <c r="O17" s="23" t="e">
        <f ca="1">_xll.BDH($D$4,$B17,O$6,O$6,"Period=FQ","BEST_FPERIOD_OVERRIDE=FQ","FILING_STATUS=MR","SCALING_FORMAT=MLN","FA_ADJUSTED=Adjusted","Sort=A","Dates=H","DateFormat=P","Fill=—","Direction=H","UseDPDF=Y",$G$4)</f>
        <v>#NAME?</v>
      </c>
      <c r="P17" s="23" t="e">
        <f ca="1">_xll.BDH($D$4,$B17,P$6,P$6,"Period=FQ","BEST_FPERIOD_OVERRIDE=FQ","FILING_STATUS=MR","SCALING_FORMAT=MLN","FA_ADJUSTED=Adjusted","Sort=A","Dates=H","DateFormat=P","Fill=—","Direction=H","UseDPDF=Y",$G$4)</f>
        <v>#NAME?</v>
      </c>
      <c r="Q17" s="23" t="e">
        <f ca="1">_xll.BDH($D$4,$B17,Q$6,Q$6,"Period=FQ","BEST_FPERIOD_OVERRIDE=FQ","FILING_STATUS=MR","SCALING_FORMAT=MLN","FA_ADJUSTED=Adjusted","Sort=A","Dates=H","DateFormat=P","Fill=—","Direction=H","UseDPDF=Y",$G$4)</f>
        <v>#NAME?</v>
      </c>
      <c r="R17" s="23" t="e">
        <f ca="1">_xll.BDH($D$4,$B17,R$6,R$6,"Period=FQ","BEST_FPERIOD_OVERRIDE=FQ","FILING_STATUS=MR","SCALING_FORMAT=MLN","FA_ADJUSTED=Adjusted","Sort=A","Dates=H","DateFormat=P","Fill=—","Direction=H","UseDPDF=Y",$G$4)</f>
        <v>#NAME?</v>
      </c>
      <c r="S17" s="23" t="e">
        <f ca="1">_xll.BDH($D$4,$B17,S$6,S$6,"Period=FQ","BEST_FPERIOD_OVERRIDE=FQ","FILING_STATUS=MR","SCALING_FORMAT=MLN","FA_ADJUSTED=Adjusted","Sort=A","Dates=H","DateFormat=P","Fill=—","Direction=H","UseDPDF=Y",$G$4)</f>
        <v>#NAME?</v>
      </c>
      <c r="T17" s="23" t="e">
        <f ca="1">_xll.BDH($D$4,$B17,T$6,T$6,"Period=FQ","BEST_FPERIOD_OVERRIDE=FQ","FILING_STATUS=MR","SCALING_FORMAT=MLN","FA_ADJUSTED=Adjusted","Sort=A","Dates=H","DateFormat=P","Fill=—","Direction=H","UseDPDF=Y",$G$4)</f>
        <v>#NAME?</v>
      </c>
      <c r="U17" s="23" t="e">
        <f ca="1">_xll.BDH($D$4,$B17,U$6,U$6,"Period=FQ","BEST_FPERIOD_OVERRIDE=FQ","FILING_STATUS=MR","SCALING_FORMAT=MLN","FA_ADJUSTED=Adjusted","Sort=A","Dates=H","DateFormat=P","Fill=—","Direction=H","UseDPDF=Y",$G$4)</f>
        <v>#NAME?</v>
      </c>
      <c r="V17" s="23" t="e">
        <f ca="1">_xll.BDH($D$4,$B17,V$6,V$6,"Period=FQ","BEST_FPERIOD_OVERRIDE=FQ","FILING_STATUS=MR","SCALING_FORMAT=MLN","FA_ADJUSTED=Adjusted","Sort=A","Dates=H","DateFormat=P","Fill=—","Direction=H","UseDPDF=Y",$G$4)</f>
        <v>#NAME?</v>
      </c>
      <c r="W17" s="23" t="e">
        <f ca="1">_xll.BDH($D$4,$B17,W$6,W$6,"Period=FQ","BEST_FPERIOD_OVERRIDE=FQ","FILING_STATUS=MR","SCALING_FORMAT=MLN","FA_ADJUSTED=Adjusted","Sort=A","Dates=H","DateFormat=P","Fill=—","Direction=H","UseDPDF=Y",$G$4)</f>
        <v>#NAME?</v>
      </c>
      <c r="X17" s="23" t="e">
        <f ca="1">_xll.BDH($D$4,$B17,X$6,X$6,"Period=FQ","BEST_FPERIOD_OVERRIDE=FQ","FILING_STATUS=MR","SCALING_FORMAT=MLN","FA_ADJUSTED=Adjusted","Sort=A","Dates=H","DateFormat=P","Fill=—","Direction=H","UseDPDF=Y",$G$4)</f>
        <v>#NAME?</v>
      </c>
      <c r="Y17" s="23" t="e">
        <f ca="1">_xll.BDH($D$4,$B17,Y$6,Y$6,"Period=FQ","BEST_FPERIOD_OVERRIDE=FQ","FILING_STATUS=MR","SCALING_FORMAT=MLN","FA_ADJUSTED=Adjusted","Sort=A","Dates=H","DateFormat=P","Fill=—","Direction=H","UseDPDF=Y",$G$4)</f>
        <v>#NAME?</v>
      </c>
      <c r="Z17" s="23" t="e">
        <f ca="1">_xll.BDH($D$4,$B17,Z$6,Z$6,"Period=FQ","BEST_FPERIOD_OVERRIDE=FQ","FILING_STATUS=MR","SCALING_FORMAT=MLN","FA_ADJUSTED=Adjusted","Sort=A","Dates=H","DateFormat=P","Fill=—","Direction=H","UseDPDF=Y",$G$4)</f>
        <v>#NAME?</v>
      </c>
      <c r="AA17" s="23" t="e">
        <f ca="1">_xll.BDH($D$4,$B17,AA$6,AA$6,"Period=FQ","BEST_FPERIOD_OVERRIDE=FQ","FILING_STATUS=MR","SCALING_FORMAT=MLN","FA_ADJUSTED=Adjusted","Sort=A","Dates=H","DateFormat=P","Fill=—","Direction=H","UseDPDF=Y",$G$4)</f>
        <v>#NAME?</v>
      </c>
      <c r="AB17" s="24" t="e">
        <f ca="1">_xll.BDH($D$4,$B17,AB$6,AB$6,"Period=FQ","BEST_FPERIOD_OVERRIDE=FQ","FILING_STATUS=MR","SCALING_FORMAT=MLN","FA_ADJUSTED=Adjusted","Sort=A","Dates=H","DateFormat=P","Fill=—","Direction=H","UseDPDF=Y",$G$4)</f>
        <v>#NAME?</v>
      </c>
      <c r="AC17" s="39" t="e">
        <f ca="1">_xll.BDH($D$4,$B17,AC$6,AC$6,"Period=FQ","BEST_FPERIOD_OVERRIDE=FQ","FILING_STATUS=MR","SCALING_FORMAT=MLN","FA_ADJUSTED=Adjusted","Sort=A","Dates=H","DateFormat=P","Fill=—","Direction=H","UseDPDF=Y",$G$4)</f>
        <v>#NAME?</v>
      </c>
      <c r="AD17" s="25" t="e">
        <f ca="1">_xll.BDP($D$4,$C17,AD$6,$G$4)</f>
        <v>#NAME?</v>
      </c>
      <c r="AE17" s="25" t="e">
        <f ca="1">_xll.BDP($D$4,$C17,AE$6,$G$4)</f>
        <v>#NAME?</v>
      </c>
      <c r="AF17" s="25" t="e">
        <f ca="1">_xll.BDP($D$4,$C17,AF$6,$G$4)</f>
        <v>#NAME?</v>
      </c>
      <c r="AG17" s="25" t="e">
        <f ca="1">_xll.BDP($D$4,$C17,AG$6,$G$4)</f>
        <v>#NAME?</v>
      </c>
      <c r="AH17" s="25" t="e">
        <f ca="1">_xll.BDP($D$4,$C17,AH$6,$G$4)</f>
        <v>#NAME?</v>
      </c>
      <c r="AI17" s="25" t="e">
        <f ca="1">_xll.BDP($D$4,$C17,AI$6,$G$4)</f>
        <v>#NAME?</v>
      </c>
      <c r="AJ17" s="25" t="e">
        <f ca="1">_xll.BDP($D$4,$C17,AJ$6,$G$4)</f>
        <v>#NAME?</v>
      </c>
      <c r="AK17" s="21"/>
      <c r="AL17" s="21"/>
      <c r="AM17" s="3"/>
      <c r="AN17" s="3"/>
    </row>
    <row r="18" spans="2:40" ht="18" customHeight="1" x14ac:dyDescent="0.3">
      <c r="B18" s="7"/>
      <c r="C18" s="7"/>
      <c r="D18" s="22" t="s">
        <v>22</v>
      </c>
      <c r="E18" s="26" t="e">
        <f t="shared" ref="E18:AB18" ca="1" si="12">E17/E10*100</f>
        <v>#NAME?</v>
      </c>
      <c r="F18" s="26" t="e">
        <f t="shared" ca="1" si="12"/>
        <v>#NAME?</v>
      </c>
      <c r="G18" s="26" t="e">
        <f t="shared" ca="1" si="12"/>
        <v>#NAME?</v>
      </c>
      <c r="H18" s="26" t="e">
        <f t="shared" ca="1" si="12"/>
        <v>#NAME?</v>
      </c>
      <c r="I18" s="26" t="e">
        <f t="shared" ca="1" si="12"/>
        <v>#NAME?</v>
      </c>
      <c r="J18" s="26" t="e">
        <f t="shared" ca="1" si="12"/>
        <v>#NAME?</v>
      </c>
      <c r="K18" s="26" t="e">
        <f t="shared" ca="1" si="12"/>
        <v>#NAME?</v>
      </c>
      <c r="L18" s="26" t="e">
        <f t="shared" ca="1" si="12"/>
        <v>#NAME?</v>
      </c>
      <c r="M18" s="26" t="e">
        <f t="shared" ca="1" si="12"/>
        <v>#NAME?</v>
      </c>
      <c r="N18" s="26" t="e">
        <f t="shared" ca="1" si="12"/>
        <v>#NAME?</v>
      </c>
      <c r="O18" s="26" t="e">
        <f t="shared" ca="1" si="12"/>
        <v>#NAME?</v>
      </c>
      <c r="P18" s="26" t="e">
        <f t="shared" ca="1" si="12"/>
        <v>#NAME?</v>
      </c>
      <c r="Q18" s="26" t="e">
        <f t="shared" ca="1" si="12"/>
        <v>#NAME?</v>
      </c>
      <c r="R18" s="26" t="e">
        <f t="shared" ca="1" si="12"/>
        <v>#NAME?</v>
      </c>
      <c r="S18" s="26" t="e">
        <f t="shared" ca="1" si="12"/>
        <v>#NAME?</v>
      </c>
      <c r="T18" s="26" t="e">
        <f t="shared" ca="1" si="12"/>
        <v>#NAME?</v>
      </c>
      <c r="U18" s="26" t="e">
        <f t="shared" ca="1" si="12"/>
        <v>#NAME?</v>
      </c>
      <c r="V18" s="26" t="e">
        <f t="shared" ca="1" si="12"/>
        <v>#NAME?</v>
      </c>
      <c r="W18" s="26" t="e">
        <f t="shared" ca="1" si="12"/>
        <v>#NAME?</v>
      </c>
      <c r="X18" s="26" t="e">
        <f t="shared" ca="1" si="12"/>
        <v>#NAME?</v>
      </c>
      <c r="Y18" s="26" t="e">
        <f t="shared" ca="1" si="12"/>
        <v>#NAME?</v>
      </c>
      <c r="Z18" s="26" t="e">
        <f t="shared" ca="1" si="12"/>
        <v>#NAME?</v>
      </c>
      <c r="AA18" s="26" t="e">
        <f t="shared" ca="1" si="12"/>
        <v>#NAME?</v>
      </c>
      <c r="AB18" s="27" t="e">
        <f t="shared" ca="1" si="12"/>
        <v>#NAME?</v>
      </c>
      <c r="AC18" s="28" t="e">
        <f t="shared" ref="AC18:AF18" ca="1" si="13">AC17/AC10*100</f>
        <v>#NAME?</v>
      </c>
      <c r="AD18" s="29" t="e">
        <f t="shared" ca="1" si="13"/>
        <v>#NAME?</v>
      </c>
      <c r="AE18" s="29" t="e">
        <f t="shared" ca="1" si="13"/>
        <v>#NAME?</v>
      </c>
      <c r="AF18" s="29" t="e">
        <f t="shared" ca="1" si="13"/>
        <v>#NAME?</v>
      </c>
      <c r="AG18" s="29" t="e">
        <f t="shared" ref="AG18:AJ18" ca="1" si="14">AG17/AG10*100</f>
        <v>#NAME?</v>
      </c>
      <c r="AH18" s="29" t="e">
        <f t="shared" ca="1" si="14"/>
        <v>#NAME?</v>
      </c>
      <c r="AI18" s="29" t="e">
        <f t="shared" ca="1" si="14"/>
        <v>#NAME?</v>
      </c>
      <c r="AJ18" s="29" t="e">
        <f t="shared" ca="1" si="14"/>
        <v>#NAME?</v>
      </c>
      <c r="AK18" s="21"/>
      <c r="AL18" s="21"/>
      <c r="AM18" s="3"/>
      <c r="AN18" s="3"/>
    </row>
    <row r="19" spans="2:40" ht="18" customHeight="1" x14ac:dyDescent="0.3">
      <c r="B19" s="7" t="s">
        <v>33</v>
      </c>
      <c r="C19" s="7" t="s">
        <v>34</v>
      </c>
      <c r="D19" s="22" t="s">
        <v>35</v>
      </c>
      <c r="E19" s="26" t="e">
        <f ca="1">_xll.BDH($D$4,$B19,E$6,E$6,"Period=FQ","BEST_FPERIOD_OVERRIDE=FQ","FILING_STATUS=MR","SCALING_FORMAT=MLN","FA_ADJUSTED=Adjusted","Sort=A","Dates=H","DateFormat=P","Fill=—","Direction=H","UseDPDF=Y")</f>
        <v>#NAME?</v>
      </c>
      <c r="F19" s="26" t="e">
        <f ca="1">_xll.BDH($D$4,$B19,F$6,F$6,"Period=FQ","BEST_FPERIOD_OVERRIDE=FQ","FILING_STATUS=MR","SCALING_FORMAT=MLN","FA_ADJUSTED=Adjusted","Sort=A","Dates=H","DateFormat=P","Fill=—","Direction=H","UseDPDF=Y")</f>
        <v>#NAME?</v>
      </c>
      <c r="G19" s="26" t="e">
        <f ca="1">_xll.BDH($D$4,$B19,G$6,G$6,"Period=FQ","BEST_FPERIOD_OVERRIDE=FQ","FILING_STATUS=MR","SCALING_FORMAT=MLN","FA_ADJUSTED=Adjusted","Sort=A","Dates=H","DateFormat=P","Fill=—","Direction=H","UseDPDF=Y")</f>
        <v>#NAME?</v>
      </c>
      <c r="H19" s="26" t="e">
        <f ca="1">_xll.BDH($D$4,$B19,H$6,H$6,"Period=FQ","BEST_FPERIOD_OVERRIDE=FQ","FILING_STATUS=MR","SCALING_FORMAT=MLN","FA_ADJUSTED=Adjusted","Sort=A","Dates=H","DateFormat=P","Fill=—","Direction=H","UseDPDF=Y")</f>
        <v>#NAME?</v>
      </c>
      <c r="I19" s="26" t="e">
        <f ca="1">_xll.BDH($D$4,$B19,I$6,I$6,"Period=FQ","BEST_FPERIOD_OVERRIDE=FQ","FILING_STATUS=MR","SCALING_FORMAT=MLN","FA_ADJUSTED=Adjusted","Sort=A","Dates=H","DateFormat=P","Fill=—","Direction=H","UseDPDF=Y")</f>
        <v>#NAME?</v>
      </c>
      <c r="J19" s="26" t="e">
        <f ca="1">_xll.BDH($D$4,$B19,J$6,J$6,"Period=FQ","BEST_FPERIOD_OVERRIDE=FQ","FILING_STATUS=MR","SCALING_FORMAT=MLN","FA_ADJUSTED=Adjusted","Sort=A","Dates=H","DateFormat=P","Fill=—","Direction=H","UseDPDF=Y")</f>
        <v>#NAME?</v>
      </c>
      <c r="K19" s="26" t="e">
        <f ca="1">_xll.BDH($D$4,$B19,K$6,K$6,"Period=FQ","BEST_FPERIOD_OVERRIDE=FQ","FILING_STATUS=MR","SCALING_FORMAT=MLN","FA_ADJUSTED=Adjusted","Sort=A","Dates=H","DateFormat=P","Fill=—","Direction=H","UseDPDF=Y")</f>
        <v>#NAME?</v>
      </c>
      <c r="L19" s="26" t="e">
        <f ca="1">_xll.BDH($D$4,$B19,L$6,L$6,"Period=FQ","BEST_FPERIOD_OVERRIDE=FQ","FILING_STATUS=MR","SCALING_FORMAT=MLN","FA_ADJUSTED=Adjusted","Sort=A","Dates=H","DateFormat=P","Fill=—","Direction=H","UseDPDF=Y")</f>
        <v>#NAME?</v>
      </c>
      <c r="M19" s="26" t="e">
        <f ca="1">_xll.BDH($D$4,$B19,M$6,M$6,"Period=FQ","BEST_FPERIOD_OVERRIDE=FQ","FILING_STATUS=MR","SCALING_FORMAT=MLN","FA_ADJUSTED=Adjusted","Sort=A","Dates=H","DateFormat=P","Fill=—","Direction=H","UseDPDF=Y")</f>
        <v>#NAME?</v>
      </c>
      <c r="N19" s="26" t="e">
        <f ca="1">_xll.BDH($D$4,$B19,N$6,N$6,"Period=FQ","BEST_FPERIOD_OVERRIDE=FQ","FILING_STATUS=MR","SCALING_FORMAT=MLN","FA_ADJUSTED=Adjusted","Sort=A","Dates=H","DateFormat=P","Fill=—","Direction=H","UseDPDF=Y")</f>
        <v>#NAME?</v>
      </c>
      <c r="O19" s="26" t="e">
        <f ca="1">_xll.BDH($D$4,$B19,O$6,O$6,"Period=FQ","BEST_FPERIOD_OVERRIDE=FQ","FILING_STATUS=MR","SCALING_FORMAT=MLN","FA_ADJUSTED=Adjusted","Sort=A","Dates=H","DateFormat=P","Fill=—","Direction=H","UseDPDF=Y")</f>
        <v>#NAME?</v>
      </c>
      <c r="P19" s="26" t="e">
        <f ca="1">_xll.BDH($D$4,$B19,P$6,P$6,"Period=FQ","BEST_FPERIOD_OVERRIDE=FQ","FILING_STATUS=MR","SCALING_FORMAT=MLN","FA_ADJUSTED=Adjusted","Sort=A","Dates=H","DateFormat=P","Fill=—","Direction=H","UseDPDF=Y")</f>
        <v>#NAME?</v>
      </c>
      <c r="Q19" s="26" t="e">
        <f ca="1">_xll.BDH($D$4,$B19,Q$6,Q$6,"Period=FQ","BEST_FPERIOD_OVERRIDE=FQ","FILING_STATUS=MR","SCALING_FORMAT=MLN","FA_ADJUSTED=Adjusted","Sort=A","Dates=H","DateFormat=P","Fill=—","Direction=H","UseDPDF=Y")</f>
        <v>#NAME?</v>
      </c>
      <c r="R19" s="26" t="e">
        <f ca="1">_xll.BDH($D$4,$B19,R$6,R$6,"Period=FQ","BEST_FPERIOD_OVERRIDE=FQ","FILING_STATUS=MR","SCALING_FORMAT=MLN","FA_ADJUSTED=Adjusted","Sort=A","Dates=H","DateFormat=P","Fill=—","Direction=H","UseDPDF=Y")</f>
        <v>#NAME?</v>
      </c>
      <c r="S19" s="26" t="e">
        <f ca="1">_xll.BDH($D$4,$B19,S$6,S$6,"Period=FQ","BEST_FPERIOD_OVERRIDE=FQ","FILING_STATUS=MR","SCALING_FORMAT=MLN","FA_ADJUSTED=Adjusted","Sort=A","Dates=H","DateFormat=P","Fill=—","Direction=H","UseDPDF=Y")</f>
        <v>#NAME?</v>
      </c>
      <c r="T19" s="26" t="e">
        <f ca="1">_xll.BDH($D$4,$B19,T$6,T$6,"Period=FQ","BEST_FPERIOD_OVERRIDE=FQ","FILING_STATUS=MR","SCALING_FORMAT=MLN","FA_ADJUSTED=Adjusted","Sort=A","Dates=H","DateFormat=P","Fill=—","Direction=H","UseDPDF=Y")</f>
        <v>#NAME?</v>
      </c>
      <c r="U19" s="26" t="e">
        <f ca="1">_xll.BDH($D$4,$B19,U$6,U$6,"Period=FQ","BEST_FPERIOD_OVERRIDE=FQ","FILING_STATUS=MR","SCALING_FORMAT=MLN","FA_ADJUSTED=Adjusted","Sort=A","Dates=H","DateFormat=P","Fill=—","Direction=H","UseDPDF=Y")</f>
        <v>#NAME?</v>
      </c>
      <c r="V19" s="26" t="e">
        <f ca="1">_xll.BDH($D$4,$B19,V$6,V$6,"Period=FQ","BEST_FPERIOD_OVERRIDE=FQ","FILING_STATUS=MR","SCALING_FORMAT=MLN","FA_ADJUSTED=Adjusted","Sort=A","Dates=H","DateFormat=P","Fill=—","Direction=H","UseDPDF=Y")</f>
        <v>#NAME?</v>
      </c>
      <c r="W19" s="26" t="e">
        <f ca="1">_xll.BDH($D$4,$B19,W$6,W$6,"Period=FQ","BEST_FPERIOD_OVERRIDE=FQ","FILING_STATUS=MR","SCALING_FORMAT=MLN","FA_ADJUSTED=Adjusted","Sort=A","Dates=H","DateFormat=P","Fill=—","Direction=H","UseDPDF=Y")</f>
        <v>#NAME?</v>
      </c>
      <c r="X19" s="26" t="e">
        <f ca="1">_xll.BDH($D$4,$B19,X$6,X$6,"Period=FQ","BEST_FPERIOD_OVERRIDE=FQ","FILING_STATUS=MR","SCALING_FORMAT=MLN","FA_ADJUSTED=Adjusted","Sort=A","Dates=H","DateFormat=P","Fill=—","Direction=H","UseDPDF=Y")</f>
        <v>#NAME?</v>
      </c>
      <c r="Y19" s="26" t="e">
        <f ca="1">_xll.BDH($D$4,$B19,Y$6,Y$6,"Period=FQ","BEST_FPERIOD_OVERRIDE=FQ","FILING_STATUS=MR","SCALING_FORMAT=MLN","FA_ADJUSTED=Adjusted","Sort=A","Dates=H","DateFormat=P","Fill=—","Direction=H","UseDPDF=Y")</f>
        <v>#NAME?</v>
      </c>
      <c r="Z19" s="26" t="e">
        <f ca="1">_xll.BDH($D$4,$B19,Z$6,Z$6,"Period=FQ","BEST_FPERIOD_OVERRIDE=FQ","FILING_STATUS=MR","SCALING_FORMAT=MLN","FA_ADJUSTED=Adjusted","Sort=A","Dates=H","DateFormat=P","Fill=—","Direction=H","UseDPDF=Y")</f>
        <v>#NAME?</v>
      </c>
      <c r="AA19" s="26" t="e">
        <f ca="1">_xll.BDH($D$4,$B19,AA$6,AA$6,"Period=FQ","BEST_FPERIOD_OVERRIDE=FQ","FILING_STATUS=MR","SCALING_FORMAT=MLN","FA_ADJUSTED=Adjusted","Sort=A","Dates=H","DateFormat=P","Fill=—","Direction=H","UseDPDF=Y")</f>
        <v>#NAME?</v>
      </c>
      <c r="AB19" s="27" t="e">
        <f ca="1">_xll.BDH($D$4,$B19,AB$6,AB$6,"Period=FQ","BEST_FPERIOD_OVERRIDE=FQ","FILING_STATUS=MR","SCALING_FORMAT=MLN","FA_ADJUSTED=Adjusted","Sort=A","Dates=H","DateFormat=P","Fill=—","Direction=H","UseDPDF=Y")</f>
        <v>#NAME?</v>
      </c>
      <c r="AC19" s="28" t="e">
        <f ca="1">_xll.BDH($D$4,$B19,AC$6,AC$6,"Period=FQ","BEST_FPERIOD_OVERRIDE=FQ","FILING_STATUS=MR","SCALING_FORMAT=MLN","FA_ADJUSTED=Adjusted","Sort=A","Dates=H","DateFormat=P","Fill=—","Direction=H","UseDPDF=Y")</f>
        <v>#NAME?</v>
      </c>
      <c r="AD19" s="29" t="e">
        <f ca="1">_xll.BDP($D$4,$C19,AD$6,$G$4)</f>
        <v>#NAME?</v>
      </c>
      <c r="AE19" s="29" t="e">
        <f ca="1">_xll.BDP($D$4,$C19,AE$6,$G$4)</f>
        <v>#NAME?</v>
      </c>
      <c r="AF19" s="29" t="e">
        <f ca="1">_xll.BDP($D$4,$C19,AF$6,$G$4)</f>
        <v>#NAME?</v>
      </c>
      <c r="AG19" s="29" t="e">
        <f ca="1">_xll.BDP($D$4,$C19,AG$6,$G$4)</f>
        <v>#NAME?</v>
      </c>
      <c r="AH19" s="29" t="e">
        <f ca="1">_xll.BDP($D$4,$C19,AH$6,$G$4)</f>
        <v>#NAME?</v>
      </c>
      <c r="AI19" s="29" t="e">
        <f ca="1">_xll.BDP($D$4,$C19,AI$6,$G$4)</f>
        <v>#NAME?</v>
      </c>
      <c r="AJ19" s="29" t="e">
        <f ca="1">_xll.BDP($D$4,$C19,AJ$6,$G$4)</f>
        <v>#NAME?</v>
      </c>
      <c r="AK19" s="21"/>
      <c r="AL19" s="21"/>
      <c r="AM19" s="3"/>
      <c r="AN19" s="3"/>
    </row>
    <row r="20" spans="2:40" ht="18" customHeight="1" x14ac:dyDescent="0.3">
      <c r="B20" s="7" t="s">
        <v>7</v>
      </c>
      <c r="C20" s="7" t="s">
        <v>11</v>
      </c>
      <c r="D20" s="22" t="s">
        <v>3</v>
      </c>
      <c r="E20" s="23" t="e">
        <f ca="1">_xll.BDH($D$4,$B20,E$6,E$6,"Period=FQ","BEST_FPERIOD_OVERRIDE=FQ","FILING_STATUS=MR","SCALING_FORMAT=MLN","FA_ADJUSTED=Adjusted","Sort=A","Dates=H","DateFormat=P","Fill=—","Direction=H","UseDPDF=Y",$G$4)</f>
        <v>#NAME?</v>
      </c>
      <c r="F20" s="23" t="e">
        <f ca="1">_xll.BDH($D$4,$B20,F$6,F$6,"Period=FQ","BEST_FPERIOD_OVERRIDE=FQ","FILING_STATUS=MR","SCALING_FORMAT=MLN","FA_ADJUSTED=Adjusted","Sort=A","Dates=H","DateFormat=P","Fill=—","Direction=H","UseDPDF=Y",$G$4)</f>
        <v>#NAME?</v>
      </c>
      <c r="G20" s="23" t="e">
        <f ca="1">_xll.BDH($D$4,$B20,G$6,G$6,"Period=FQ","BEST_FPERIOD_OVERRIDE=FQ","FILING_STATUS=MR","SCALING_FORMAT=MLN","FA_ADJUSTED=Adjusted","Sort=A","Dates=H","DateFormat=P","Fill=—","Direction=H","UseDPDF=Y",$G$4)</f>
        <v>#NAME?</v>
      </c>
      <c r="H20" s="23" t="e">
        <f ca="1">_xll.BDH($D$4,$B20,H$6,H$6,"Period=FQ","BEST_FPERIOD_OVERRIDE=FQ","FILING_STATUS=MR","SCALING_FORMAT=MLN","FA_ADJUSTED=Adjusted","Sort=A","Dates=H","DateFormat=P","Fill=—","Direction=H","UseDPDF=Y",$G$4)</f>
        <v>#NAME?</v>
      </c>
      <c r="I20" s="23" t="e">
        <f ca="1">_xll.BDH($D$4,$B20,I$6,I$6,"Period=FQ","BEST_FPERIOD_OVERRIDE=FQ","FILING_STATUS=MR","SCALING_FORMAT=MLN","FA_ADJUSTED=Adjusted","Sort=A","Dates=H","DateFormat=P","Fill=—","Direction=H","UseDPDF=Y",$G$4)</f>
        <v>#NAME?</v>
      </c>
      <c r="J20" s="23" t="e">
        <f ca="1">_xll.BDH($D$4,$B20,J$6,J$6,"Period=FQ","BEST_FPERIOD_OVERRIDE=FQ","FILING_STATUS=MR","SCALING_FORMAT=MLN","FA_ADJUSTED=Adjusted","Sort=A","Dates=H","DateFormat=P","Fill=—","Direction=H","UseDPDF=Y",$G$4)</f>
        <v>#NAME?</v>
      </c>
      <c r="K20" s="23" t="e">
        <f ca="1">_xll.BDH($D$4,$B20,K$6,K$6,"Period=FQ","BEST_FPERIOD_OVERRIDE=FQ","FILING_STATUS=MR","SCALING_FORMAT=MLN","FA_ADJUSTED=Adjusted","Sort=A","Dates=H","DateFormat=P","Fill=—","Direction=H","UseDPDF=Y",$G$4)</f>
        <v>#NAME?</v>
      </c>
      <c r="L20" s="23" t="e">
        <f ca="1">_xll.BDH($D$4,$B20,L$6,L$6,"Period=FQ","BEST_FPERIOD_OVERRIDE=FQ","FILING_STATUS=MR","SCALING_FORMAT=MLN","FA_ADJUSTED=Adjusted","Sort=A","Dates=H","DateFormat=P","Fill=—","Direction=H","UseDPDF=Y",$G$4)</f>
        <v>#NAME?</v>
      </c>
      <c r="M20" s="23" t="e">
        <f ca="1">_xll.BDH($D$4,$B20,M$6,M$6,"Period=FQ","BEST_FPERIOD_OVERRIDE=FQ","FILING_STATUS=MR","SCALING_FORMAT=MLN","FA_ADJUSTED=Adjusted","Sort=A","Dates=H","DateFormat=P","Fill=—","Direction=H","UseDPDF=Y",$G$4)</f>
        <v>#NAME?</v>
      </c>
      <c r="N20" s="23" t="e">
        <f ca="1">_xll.BDH($D$4,$B20,N$6,N$6,"Period=FQ","BEST_FPERIOD_OVERRIDE=FQ","FILING_STATUS=MR","SCALING_FORMAT=MLN","FA_ADJUSTED=Adjusted","Sort=A","Dates=H","DateFormat=P","Fill=—","Direction=H","UseDPDF=Y",$G$4)</f>
        <v>#NAME?</v>
      </c>
      <c r="O20" s="23" t="e">
        <f ca="1">_xll.BDH($D$4,$B20,O$6,O$6,"Period=FQ","BEST_FPERIOD_OVERRIDE=FQ","FILING_STATUS=MR","SCALING_FORMAT=MLN","FA_ADJUSTED=Adjusted","Sort=A","Dates=H","DateFormat=P","Fill=—","Direction=H","UseDPDF=Y",$G$4)</f>
        <v>#NAME?</v>
      </c>
      <c r="P20" s="23" t="e">
        <f ca="1">_xll.BDH($D$4,$B20,P$6,P$6,"Period=FQ","BEST_FPERIOD_OVERRIDE=FQ","FILING_STATUS=MR","SCALING_FORMAT=MLN","FA_ADJUSTED=Adjusted","Sort=A","Dates=H","DateFormat=P","Fill=—","Direction=H","UseDPDF=Y",$G$4)</f>
        <v>#NAME?</v>
      </c>
      <c r="Q20" s="23" t="e">
        <f ca="1">_xll.BDH($D$4,$B20,Q$6,Q$6,"Period=FQ","BEST_FPERIOD_OVERRIDE=FQ","FILING_STATUS=MR","SCALING_FORMAT=MLN","FA_ADJUSTED=Adjusted","Sort=A","Dates=H","DateFormat=P","Fill=—","Direction=H","UseDPDF=Y",$G$4)</f>
        <v>#NAME?</v>
      </c>
      <c r="R20" s="23" t="e">
        <f ca="1">_xll.BDH($D$4,$B20,R$6,R$6,"Period=FQ","BEST_FPERIOD_OVERRIDE=FQ","FILING_STATUS=MR","SCALING_FORMAT=MLN","FA_ADJUSTED=Adjusted","Sort=A","Dates=H","DateFormat=P","Fill=—","Direction=H","UseDPDF=Y",$G$4)</f>
        <v>#NAME?</v>
      </c>
      <c r="S20" s="23" t="e">
        <f ca="1">_xll.BDH($D$4,$B20,S$6,S$6,"Period=FQ","BEST_FPERIOD_OVERRIDE=FQ","FILING_STATUS=MR","SCALING_FORMAT=MLN","FA_ADJUSTED=Adjusted","Sort=A","Dates=H","DateFormat=P","Fill=—","Direction=H","UseDPDF=Y",$G$4)</f>
        <v>#NAME?</v>
      </c>
      <c r="T20" s="23" t="e">
        <f ca="1">_xll.BDH($D$4,$B20,T$6,T$6,"Period=FQ","BEST_FPERIOD_OVERRIDE=FQ","FILING_STATUS=MR","SCALING_FORMAT=MLN","FA_ADJUSTED=Adjusted","Sort=A","Dates=H","DateFormat=P","Fill=—","Direction=H","UseDPDF=Y",$G$4)</f>
        <v>#NAME?</v>
      </c>
      <c r="U20" s="23" t="e">
        <f ca="1">_xll.BDH($D$4,$B20,U$6,U$6,"Period=FQ","BEST_FPERIOD_OVERRIDE=FQ","FILING_STATUS=MR","SCALING_FORMAT=MLN","FA_ADJUSTED=Adjusted","Sort=A","Dates=H","DateFormat=P","Fill=—","Direction=H","UseDPDF=Y",$G$4)</f>
        <v>#NAME?</v>
      </c>
      <c r="V20" s="23" t="e">
        <f ca="1">_xll.BDH($D$4,$B20,V$6,V$6,"Period=FQ","BEST_FPERIOD_OVERRIDE=FQ","FILING_STATUS=MR","SCALING_FORMAT=MLN","FA_ADJUSTED=Adjusted","Sort=A","Dates=H","DateFormat=P","Fill=—","Direction=H","UseDPDF=Y",$G$4)</f>
        <v>#NAME?</v>
      </c>
      <c r="W20" s="23" t="e">
        <f ca="1">_xll.BDH($D$4,$B20,W$6,W$6,"Period=FQ","BEST_FPERIOD_OVERRIDE=FQ","FILING_STATUS=MR","SCALING_FORMAT=MLN","FA_ADJUSTED=Adjusted","Sort=A","Dates=H","DateFormat=P","Fill=—","Direction=H","UseDPDF=Y",$G$4)</f>
        <v>#NAME?</v>
      </c>
      <c r="X20" s="23" t="e">
        <f ca="1">_xll.BDH($D$4,$B20,X$6,X$6,"Period=FQ","BEST_FPERIOD_OVERRIDE=FQ","FILING_STATUS=MR","SCALING_FORMAT=MLN","FA_ADJUSTED=Adjusted","Sort=A","Dates=H","DateFormat=P","Fill=—","Direction=H","UseDPDF=Y",$G$4)</f>
        <v>#NAME?</v>
      </c>
      <c r="Y20" s="23" t="e">
        <f ca="1">_xll.BDH($D$4,$B20,Y$6,Y$6,"Period=FQ","BEST_FPERIOD_OVERRIDE=FQ","FILING_STATUS=MR","SCALING_FORMAT=MLN","FA_ADJUSTED=Adjusted","Sort=A","Dates=H","DateFormat=P","Fill=—","Direction=H","UseDPDF=Y",$G$4)</f>
        <v>#NAME?</v>
      </c>
      <c r="Z20" s="23" t="e">
        <f ca="1">_xll.BDH($D$4,$B20,Z$6,Z$6,"Period=FQ","BEST_FPERIOD_OVERRIDE=FQ","FILING_STATUS=MR","SCALING_FORMAT=MLN","FA_ADJUSTED=Adjusted","Sort=A","Dates=H","DateFormat=P","Fill=—","Direction=H","UseDPDF=Y",$G$4)</f>
        <v>#NAME?</v>
      </c>
      <c r="AA20" s="23" t="e">
        <f ca="1">_xll.BDH($D$4,$B20,AA$6,AA$6,"Period=FQ","BEST_FPERIOD_OVERRIDE=FQ","FILING_STATUS=MR","SCALING_FORMAT=MLN","FA_ADJUSTED=Adjusted","Sort=A","Dates=H","DateFormat=P","Fill=—","Direction=H","UseDPDF=Y",$G$4)</f>
        <v>#NAME?</v>
      </c>
      <c r="AB20" s="24" t="e">
        <f ca="1">_xll.BDH($D$4,$B20,AB$6,AB$6,"Period=FQ","BEST_FPERIOD_OVERRIDE=FQ","FILING_STATUS=MR","SCALING_FORMAT=MLN","FA_ADJUSTED=Adjusted","Sort=A","Dates=H","DateFormat=P","Fill=—","Direction=H","UseDPDF=Y",$G$4)</f>
        <v>#NAME?</v>
      </c>
      <c r="AC20" s="39" t="e">
        <f ca="1">_xll.BDH($D$4,$B20,AC$6,AC$6,"Period=FQ","BEST_FPERIOD_OVERRIDE=FQ","FILING_STATUS=MR","SCALING_FORMAT=MLN","FA_ADJUSTED=Adjusted","Sort=A","Dates=H","DateFormat=P","Fill=—","Direction=H","UseDPDF=Y",$G$4)</f>
        <v>#NAME?</v>
      </c>
      <c r="AD20" s="25" t="e">
        <f ca="1">_xll.BDP($D$4,$C20,AD$6,$G$4)</f>
        <v>#NAME?</v>
      </c>
      <c r="AE20" s="25" t="e">
        <f ca="1">_xll.BDP($D$4,$C20,AE$6,$G$4)</f>
        <v>#NAME?</v>
      </c>
      <c r="AF20" s="25" t="e">
        <f ca="1">_xll.BDP($D$4,$C20,AF$6,$G$4)</f>
        <v>#NAME?</v>
      </c>
      <c r="AG20" s="25" t="e">
        <f ca="1">_xll.BDP($D$4,$C20,AG$6,$G$4)</f>
        <v>#NAME?</v>
      </c>
      <c r="AH20" s="25" t="e">
        <f ca="1">_xll.BDP($D$4,$C20,AH$6,$G$4)</f>
        <v>#NAME?</v>
      </c>
      <c r="AI20" s="25" t="e">
        <f ca="1">_xll.BDP($D$4,$C20,AI$6,$G$4)</f>
        <v>#NAME?</v>
      </c>
      <c r="AJ20" s="25" t="e">
        <f ca="1">_xll.BDP($D$4,$C20,AJ$6,$G$4)</f>
        <v>#NAME?</v>
      </c>
      <c r="AK20" s="21"/>
      <c r="AL20" s="21"/>
      <c r="AM20" s="3"/>
      <c r="AN20" s="3"/>
    </row>
    <row r="21" spans="2:40" ht="18" customHeight="1" thickBot="1" x14ac:dyDescent="0.35">
      <c r="B21" s="9"/>
      <c r="C21" s="9"/>
      <c r="D21" s="30" t="s">
        <v>4</v>
      </c>
      <c r="E21" s="31" t="e">
        <f t="shared" ref="E21:AB21" ca="1" si="15">E20/E10*100</f>
        <v>#NAME?</v>
      </c>
      <c r="F21" s="31" t="e">
        <f t="shared" ca="1" si="15"/>
        <v>#NAME?</v>
      </c>
      <c r="G21" s="31" t="e">
        <f t="shared" ca="1" si="15"/>
        <v>#NAME?</v>
      </c>
      <c r="H21" s="31" t="e">
        <f t="shared" ca="1" si="15"/>
        <v>#NAME?</v>
      </c>
      <c r="I21" s="31" t="e">
        <f t="shared" ca="1" si="15"/>
        <v>#NAME?</v>
      </c>
      <c r="J21" s="31" t="e">
        <f t="shared" ca="1" si="15"/>
        <v>#NAME?</v>
      </c>
      <c r="K21" s="31" t="e">
        <f t="shared" ca="1" si="15"/>
        <v>#NAME?</v>
      </c>
      <c r="L21" s="31" t="e">
        <f t="shared" ca="1" si="15"/>
        <v>#NAME?</v>
      </c>
      <c r="M21" s="31" t="e">
        <f t="shared" ca="1" si="15"/>
        <v>#NAME?</v>
      </c>
      <c r="N21" s="31" t="e">
        <f t="shared" ca="1" si="15"/>
        <v>#NAME?</v>
      </c>
      <c r="O21" s="31" t="e">
        <f t="shared" ca="1" si="15"/>
        <v>#NAME?</v>
      </c>
      <c r="P21" s="31" t="e">
        <f t="shared" ca="1" si="15"/>
        <v>#NAME?</v>
      </c>
      <c r="Q21" s="31" t="e">
        <f t="shared" ca="1" si="15"/>
        <v>#NAME?</v>
      </c>
      <c r="R21" s="31" t="e">
        <f t="shared" ca="1" si="15"/>
        <v>#NAME?</v>
      </c>
      <c r="S21" s="31" t="e">
        <f t="shared" ca="1" si="15"/>
        <v>#NAME?</v>
      </c>
      <c r="T21" s="31" t="e">
        <f t="shared" ca="1" si="15"/>
        <v>#NAME?</v>
      </c>
      <c r="U21" s="31" t="e">
        <f t="shared" ca="1" si="15"/>
        <v>#NAME?</v>
      </c>
      <c r="V21" s="31" t="e">
        <f t="shared" ca="1" si="15"/>
        <v>#NAME?</v>
      </c>
      <c r="W21" s="31" t="e">
        <f t="shared" ca="1" si="15"/>
        <v>#NAME?</v>
      </c>
      <c r="X21" s="31" t="e">
        <f t="shared" ca="1" si="15"/>
        <v>#NAME?</v>
      </c>
      <c r="Y21" s="31" t="e">
        <f t="shared" ca="1" si="15"/>
        <v>#NAME?</v>
      </c>
      <c r="Z21" s="31" t="e">
        <f t="shared" ca="1" si="15"/>
        <v>#NAME?</v>
      </c>
      <c r="AA21" s="31" t="e">
        <f t="shared" ca="1" si="15"/>
        <v>#NAME?</v>
      </c>
      <c r="AB21" s="32" t="e">
        <f t="shared" ca="1" si="15"/>
        <v>#NAME?</v>
      </c>
      <c r="AC21" s="33" t="e">
        <f t="shared" ref="AC21:AF21" ca="1" si="16">AC20/AC10*100</f>
        <v>#NAME?</v>
      </c>
      <c r="AD21" s="34" t="e">
        <f t="shared" ca="1" si="16"/>
        <v>#NAME?</v>
      </c>
      <c r="AE21" s="34" t="e">
        <f t="shared" ca="1" si="16"/>
        <v>#NAME?</v>
      </c>
      <c r="AF21" s="34" t="e">
        <f t="shared" ca="1" si="16"/>
        <v>#NAME?</v>
      </c>
      <c r="AG21" s="34" t="e">
        <f t="shared" ref="AG21:AJ21" ca="1" si="17">AG20/AG10*100</f>
        <v>#NAME?</v>
      </c>
      <c r="AH21" s="34" t="e">
        <f t="shared" ca="1" si="17"/>
        <v>#NAME?</v>
      </c>
      <c r="AI21" s="34" t="e">
        <f t="shared" ca="1" si="17"/>
        <v>#NAME?</v>
      </c>
      <c r="AJ21" s="34" t="e">
        <f t="shared" ca="1" si="17"/>
        <v>#NAME?</v>
      </c>
      <c r="AK21" s="35"/>
      <c r="AL21" s="35"/>
      <c r="AM21" s="3"/>
      <c r="AN21" s="3"/>
    </row>
    <row r="22" spans="2:40" ht="18" customHeight="1" thickTop="1" thickBot="1" x14ac:dyDescent="0.35">
      <c r="B22" s="9"/>
      <c r="C22" s="9"/>
      <c r="D22" s="12" t="s">
        <v>135</v>
      </c>
      <c r="E22" s="13" t="s">
        <v>68</v>
      </c>
      <c r="F22" s="13" t="s">
        <v>69</v>
      </c>
      <c r="G22" s="13" t="s">
        <v>70</v>
      </c>
      <c r="H22" s="13" t="s">
        <v>71</v>
      </c>
      <c r="I22" s="13" t="s">
        <v>72</v>
      </c>
      <c r="J22" s="13" t="s">
        <v>73</v>
      </c>
      <c r="K22" s="13" t="s">
        <v>74</v>
      </c>
      <c r="L22" s="13" t="s">
        <v>75</v>
      </c>
      <c r="M22" s="13" t="s">
        <v>76</v>
      </c>
      <c r="N22" s="13" t="s">
        <v>77</v>
      </c>
      <c r="O22" s="13" t="s">
        <v>78</v>
      </c>
      <c r="P22" s="13" t="s">
        <v>79</v>
      </c>
      <c r="Q22" s="13" t="s">
        <v>80</v>
      </c>
      <c r="R22" s="13" t="s">
        <v>81</v>
      </c>
      <c r="S22" s="13" t="s">
        <v>82</v>
      </c>
      <c r="T22" s="13" t="s">
        <v>83</v>
      </c>
      <c r="U22" s="13" t="s">
        <v>84</v>
      </c>
      <c r="V22" s="13" t="s">
        <v>85</v>
      </c>
      <c r="W22" s="13" t="s">
        <v>86</v>
      </c>
      <c r="X22" s="13" t="s">
        <v>87</v>
      </c>
      <c r="Y22" s="13" t="s">
        <v>88</v>
      </c>
      <c r="Z22" s="13" t="s">
        <v>89</v>
      </c>
      <c r="AA22" s="13" t="s">
        <v>45</v>
      </c>
      <c r="AB22" s="13" t="s">
        <v>43</v>
      </c>
      <c r="AC22" s="56" t="s">
        <v>41</v>
      </c>
      <c r="AD22" s="14" t="s">
        <v>90</v>
      </c>
      <c r="AE22" s="14" t="s">
        <v>91</v>
      </c>
      <c r="AF22" s="14" t="s">
        <v>92</v>
      </c>
      <c r="AG22" s="14" t="s">
        <v>100</v>
      </c>
      <c r="AH22" s="14" t="s">
        <v>102</v>
      </c>
      <c r="AI22" s="14" t="s">
        <v>101</v>
      </c>
      <c r="AJ22" s="14" t="s">
        <v>103</v>
      </c>
      <c r="AK22" s="15"/>
      <c r="AL22" s="15"/>
      <c r="AM22" s="3"/>
      <c r="AN22" s="3"/>
    </row>
    <row r="23" spans="2:40" ht="18" customHeight="1" x14ac:dyDescent="0.3">
      <c r="B23" s="9"/>
      <c r="C23" s="9"/>
      <c r="D23" s="22" t="s">
        <v>13</v>
      </c>
      <c r="E23" s="57"/>
      <c r="F23" s="47" t="e">
        <f t="shared" ref="F23:AB23" ca="1" si="18">(F10/E10-1)*100</f>
        <v>#NAME?</v>
      </c>
      <c r="G23" s="47" t="e">
        <f t="shared" ca="1" si="18"/>
        <v>#NAME?</v>
      </c>
      <c r="H23" s="47" t="e">
        <f t="shared" ca="1" si="18"/>
        <v>#NAME?</v>
      </c>
      <c r="I23" s="47" t="e">
        <f t="shared" ca="1" si="18"/>
        <v>#NAME?</v>
      </c>
      <c r="J23" s="47" t="e">
        <f t="shared" ca="1" si="18"/>
        <v>#NAME?</v>
      </c>
      <c r="K23" s="47" t="e">
        <f t="shared" ca="1" si="18"/>
        <v>#NAME?</v>
      </c>
      <c r="L23" s="47" t="e">
        <f t="shared" ca="1" si="18"/>
        <v>#NAME?</v>
      </c>
      <c r="M23" s="47" t="e">
        <f t="shared" ca="1" si="18"/>
        <v>#NAME?</v>
      </c>
      <c r="N23" s="47" t="e">
        <f t="shared" ca="1" si="18"/>
        <v>#NAME?</v>
      </c>
      <c r="O23" s="47" t="e">
        <f t="shared" ca="1" si="18"/>
        <v>#NAME?</v>
      </c>
      <c r="P23" s="47" t="e">
        <f t="shared" ca="1" si="18"/>
        <v>#NAME?</v>
      </c>
      <c r="Q23" s="47" t="e">
        <f t="shared" ca="1" si="18"/>
        <v>#NAME?</v>
      </c>
      <c r="R23" s="47" t="e">
        <f t="shared" ca="1" si="18"/>
        <v>#NAME?</v>
      </c>
      <c r="S23" s="47" t="e">
        <f t="shared" ca="1" si="18"/>
        <v>#NAME?</v>
      </c>
      <c r="T23" s="47" t="e">
        <f t="shared" ca="1" si="18"/>
        <v>#NAME?</v>
      </c>
      <c r="U23" s="47" t="e">
        <f t="shared" ca="1" si="18"/>
        <v>#NAME?</v>
      </c>
      <c r="V23" s="47" t="e">
        <f t="shared" ca="1" si="18"/>
        <v>#NAME?</v>
      </c>
      <c r="W23" s="47" t="e">
        <f t="shared" ca="1" si="18"/>
        <v>#NAME?</v>
      </c>
      <c r="X23" s="47" t="e">
        <f t="shared" ca="1" si="18"/>
        <v>#NAME?</v>
      </c>
      <c r="Y23" s="47" t="e">
        <f t="shared" ca="1" si="18"/>
        <v>#NAME?</v>
      </c>
      <c r="Z23" s="47" t="e">
        <f t="shared" ca="1" si="18"/>
        <v>#NAME?</v>
      </c>
      <c r="AA23" s="47" t="e">
        <f t="shared" ca="1" si="18"/>
        <v>#NAME?</v>
      </c>
      <c r="AB23" s="48" t="e">
        <f t="shared" ca="1" si="18"/>
        <v>#NAME?</v>
      </c>
      <c r="AC23" s="49" t="e">
        <f t="shared" ref="AC23" ca="1" si="19">(AC10/AB10-1)*100</f>
        <v>#NAME?</v>
      </c>
      <c r="AD23" s="36" t="e">
        <f t="shared" ref="AD23" ca="1" si="20">(AD10/AC10-1)*100</f>
        <v>#NAME?</v>
      </c>
      <c r="AE23" s="36" t="e">
        <f t="shared" ref="AE23" ca="1" si="21">(AE10/AD10-1)*100</f>
        <v>#NAME?</v>
      </c>
      <c r="AF23" s="36" t="e">
        <f t="shared" ref="AF23" ca="1" si="22">(AF10/AE10-1)*100</f>
        <v>#NAME?</v>
      </c>
      <c r="AG23" s="36" t="e">
        <f t="shared" ref="AG23" ca="1" si="23">(AG10/AF10-1)*100</f>
        <v>#NAME?</v>
      </c>
      <c r="AH23" s="36" t="e">
        <f t="shared" ref="AH23" ca="1" si="24">(AH10/AG10-1)*100</f>
        <v>#NAME?</v>
      </c>
      <c r="AI23" s="36" t="e">
        <f t="shared" ref="AI23" ca="1" si="25">(AI10/AH10-1)*100</f>
        <v>#NAME?</v>
      </c>
      <c r="AJ23" s="36" t="e">
        <f t="shared" ref="AJ23" ca="1" si="26">(AJ10/AI10-1)*100</f>
        <v>#NAME?</v>
      </c>
      <c r="AK23" s="35"/>
      <c r="AL23" s="35"/>
      <c r="AM23" s="3"/>
      <c r="AN23" s="3"/>
    </row>
    <row r="24" spans="2:40" ht="18" customHeight="1" x14ac:dyDescent="0.3">
      <c r="B24" s="9"/>
      <c r="C24" s="9"/>
      <c r="D24" s="22" t="s">
        <v>18</v>
      </c>
      <c r="E24" s="58"/>
      <c r="F24" s="37" t="e">
        <f t="shared" ref="F24:AB24" ca="1" si="27">(F13/E13-1)*100</f>
        <v>#NAME?</v>
      </c>
      <c r="G24" s="37" t="e">
        <f t="shared" ca="1" si="27"/>
        <v>#NAME?</v>
      </c>
      <c r="H24" s="37" t="e">
        <f t="shared" ca="1" si="27"/>
        <v>#NAME?</v>
      </c>
      <c r="I24" s="37" t="e">
        <f t="shared" ca="1" si="27"/>
        <v>#NAME?</v>
      </c>
      <c r="J24" s="37" t="e">
        <f t="shared" ca="1" si="27"/>
        <v>#NAME?</v>
      </c>
      <c r="K24" s="37" t="e">
        <f t="shared" ca="1" si="27"/>
        <v>#NAME?</v>
      </c>
      <c r="L24" s="37" t="e">
        <f t="shared" ca="1" si="27"/>
        <v>#NAME?</v>
      </c>
      <c r="M24" s="37" t="e">
        <f t="shared" ca="1" si="27"/>
        <v>#NAME?</v>
      </c>
      <c r="N24" s="37" t="e">
        <f t="shared" ca="1" si="27"/>
        <v>#NAME?</v>
      </c>
      <c r="O24" s="37" t="e">
        <f t="shared" ca="1" si="27"/>
        <v>#NAME?</v>
      </c>
      <c r="P24" s="37" t="e">
        <f t="shared" ca="1" si="27"/>
        <v>#NAME?</v>
      </c>
      <c r="Q24" s="37" t="e">
        <f t="shared" ca="1" si="27"/>
        <v>#NAME?</v>
      </c>
      <c r="R24" s="37" t="e">
        <f t="shared" ca="1" si="27"/>
        <v>#NAME?</v>
      </c>
      <c r="S24" s="37" t="e">
        <f t="shared" ca="1" si="27"/>
        <v>#NAME?</v>
      </c>
      <c r="T24" s="37" t="e">
        <f t="shared" ca="1" si="27"/>
        <v>#NAME?</v>
      </c>
      <c r="U24" s="37" t="e">
        <f t="shared" ca="1" si="27"/>
        <v>#NAME?</v>
      </c>
      <c r="V24" s="37" t="e">
        <f t="shared" ca="1" si="27"/>
        <v>#NAME?</v>
      </c>
      <c r="W24" s="37" t="e">
        <f t="shared" ca="1" si="27"/>
        <v>#NAME?</v>
      </c>
      <c r="X24" s="37" t="e">
        <f t="shared" ca="1" si="27"/>
        <v>#NAME?</v>
      </c>
      <c r="Y24" s="37" t="e">
        <f t="shared" ca="1" si="27"/>
        <v>#NAME?</v>
      </c>
      <c r="Z24" s="37" t="e">
        <f t="shared" ca="1" si="27"/>
        <v>#NAME?</v>
      </c>
      <c r="AA24" s="37" t="e">
        <f t="shared" ca="1" si="27"/>
        <v>#NAME?</v>
      </c>
      <c r="AB24" s="38" t="e">
        <f t="shared" ca="1" si="27"/>
        <v>#NAME?</v>
      </c>
      <c r="AC24" s="39" t="e">
        <f t="shared" ref="AC24" ca="1" si="28">(AC13/AB13-1)*100</f>
        <v>#NAME?</v>
      </c>
      <c r="AD24" s="36" t="e">
        <f t="shared" ref="AD24" ca="1" si="29">(AD13/AC13-1)*100</f>
        <v>#NAME?</v>
      </c>
      <c r="AE24" s="36" t="e">
        <f t="shared" ref="AE24" ca="1" si="30">(AE13/AD13-1)*100</f>
        <v>#NAME?</v>
      </c>
      <c r="AF24" s="36" t="e">
        <f t="shared" ref="AF24" ca="1" si="31">(AF13/AE13-1)*100</f>
        <v>#NAME?</v>
      </c>
      <c r="AG24" s="36" t="e">
        <f t="shared" ref="AG24" ca="1" si="32">(AG13/AF13-1)*100</f>
        <v>#NAME?</v>
      </c>
      <c r="AH24" s="36" t="e">
        <f t="shared" ref="AH24" ca="1" si="33">(AH13/AG13-1)*100</f>
        <v>#NAME?</v>
      </c>
      <c r="AI24" s="36" t="e">
        <f t="shared" ref="AI24" ca="1" si="34">(AI13/AH13-1)*100</f>
        <v>#NAME?</v>
      </c>
      <c r="AJ24" s="36" t="e">
        <f t="shared" ref="AJ24" ca="1" si="35">(AJ13/AI13-1)*100</f>
        <v>#NAME?</v>
      </c>
      <c r="AK24" s="35"/>
      <c r="AL24" s="35"/>
      <c r="AM24" s="3"/>
      <c r="AN24" s="3"/>
    </row>
    <row r="25" spans="2:40" ht="18" customHeight="1" x14ac:dyDescent="0.3">
      <c r="B25" s="9"/>
      <c r="C25" s="9"/>
      <c r="D25" s="22" t="s">
        <v>14</v>
      </c>
      <c r="E25" s="58"/>
      <c r="F25" s="37" t="e">
        <f t="shared" ref="F25:AB25" ca="1" si="36">(F15/E15-1)*100</f>
        <v>#NAME?</v>
      </c>
      <c r="G25" s="37" t="e">
        <f t="shared" ca="1" si="36"/>
        <v>#NAME?</v>
      </c>
      <c r="H25" s="37" t="e">
        <f t="shared" ca="1" si="36"/>
        <v>#NAME?</v>
      </c>
      <c r="I25" s="37" t="e">
        <f t="shared" ca="1" si="36"/>
        <v>#NAME?</v>
      </c>
      <c r="J25" s="37" t="e">
        <f t="shared" ca="1" si="36"/>
        <v>#NAME?</v>
      </c>
      <c r="K25" s="37" t="e">
        <f t="shared" ca="1" si="36"/>
        <v>#NAME?</v>
      </c>
      <c r="L25" s="37" t="e">
        <f t="shared" ca="1" si="36"/>
        <v>#NAME?</v>
      </c>
      <c r="M25" s="37" t="e">
        <f t="shared" ca="1" si="36"/>
        <v>#NAME?</v>
      </c>
      <c r="N25" s="37" t="e">
        <f t="shared" ca="1" si="36"/>
        <v>#NAME?</v>
      </c>
      <c r="O25" s="37" t="e">
        <f t="shared" ca="1" si="36"/>
        <v>#NAME?</v>
      </c>
      <c r="P25" s="37" t="e">
        <f t="shared" ca="1" si="36"/>
        <v>#NAME?</v>
      </c>
      <c r="Q25" s="37" t="e">
        <f t="shared" ca="1" si="36"/>
        <v>#NAME?</v>
      </c>
      <c r="R25" s="37" t="e">
        <f t="shared" ca="1" si="36"/>
        <v>#NAME?</v>
      </c>
      <c r="S25" s="37" t="e">
        <f t="shared" ca="1" si="36"/>
        <v>#NAME?</v>
      </c>
      <c r="T25" s="37" t="e">
        <f t="shared" ca="1" si="36"/>
        <v>#NAME?</v>
      </c>
      <c r="U25" s="37" t="e">
        <f t="shared" ca="1" si="36"/>
        <v>#NAME?</v>
      </c>
      <c r="V25" s="37" t="e">
        <f t="shared" ca="1" si="36"/>
        <v>#NAME?</v>
      </c>
      <c r="W25" s="37" t="e">
        <f t="shared" ca="1" si="36"/>
        <v>#NAME?</v>
      </c>
      <c r="X25" s="37" t="e">
        <f t="shared" ca="1" si="36"/>
        <v>#NAME?</v>
      </c>
      <c r="Y25" s="37" t="e">
        <f t="shared" ca="1" si="36"/>
        <v>#NAME?</v>
      </c>
      <c r="Z25" s="37" t="e">
        <f t="shared" ca="1" si="36"/>
        <v>#NAME?</v>
      </c>
      <c r="AA25" s="37" t="e">
        <f t="shared" ca="1" si="36"/>
        <v>#NAME?</v>
      </c>
      <c r="AB25" s="40" t="e">
        <f t="shared" ca="1" si="36"/>
        <v>#NAME?</v>
      </c>
      <c r="AC25" s="41" t="e">
        <f t="shared" ref="AC25" ca="1" si="37">(AC15/AB15-1)*100</f>
        <v>#NAME?</v>
      </c>
      <c r="AD25" s="36" t="e">
        <f t="shared" ref="AD25" ca="1" si="38">(AD15/AC15-1)*100</f>
        <v>#NAME?</v>
      </c>
      <c r="AE25" s="36" t="e">
        <f t="shared" ref="AE25" ca="1" si="39">(AE15/AD15-1)*100</f>
        <v>#NAME?</v>
      </c>
      <c r="AF25" s="36" t="e">
        <f t="shared" ref="AF25" ca="1" si="40">(AF15/AE15-1)*100</f>
        <v>#NAME?</v>
      </c>
      <c r="AG25" s="36" t="e">
        <f t="shared" ref="AG25" ca="1" si="41">(AG15/AF15-1)*100</f>
        <v>#NAME?</v>
      </c>
      <c r="AH25" s="36" t="e">
        <f t="shared" ref="AH25" ca="1" si="42">(AH15/AG15-1)*100</f>
        <v>#NAME?</v>
      </c>
      <c r="AI25" s="36" t="e">
        <f t="shared" ref="AI25" ca="1" si="43">(AI15/AH15-1)*100</f>
        <v>#NAME?</v>
      </c>
      <c r="AJ25" s="36" t="e">
        <f t="shared" ref="AJ25" ca="1" si="44">(AJ15/AI15-1)*100</f>
        <v>#NAME?</v>
      </c>
      <c r="AK25" s="35"/>
      <c r="AL25" s="35"/>
      <c r="AM25" s="3"/>
      <c r="AN25" s="3"/>
    </row>
    <row r="26" spans="2:40" ht="18" customHeight="1" x14ac:dyDescent="0.3">
      <c r="B26" s="9"/>
      <c r="C26" s="9"/>
      <c r="D26" s="22" t="s">
        <v>21</v>
      </c>
      <c r="E26" s="58"/>
      <c r="F26" s="37" t="e">
        <f t="shared" ref="F26" ca="1" si="45">(F17/E17-1)*100</f>
        <v>#NAME?</v>
      </c>
      <c r="G26" s="37" t="e">
        <f t="shared" ref="G26" ca="1" si="46">(G17/F17-1)*100</f>
        <v>#NAME?</v>
      </c>
      <c r="H26" s="37" t="e">
        <f t="shared" ref="H26" ca="1" si="47">(H17/G17-1)*100</f>
        <v>#NAME?</v>
      </c>
      <c r="I26" s="37" t="e">
        <f t="shared" ref="I26" ca="1" si="48">(I17/H17-1)*100</f>
        <v>#NAME?</v>
      </c>
      <c r="J26" s="37" t="e">
        <f t="shared" ref="J26" ca="1" si="49">(J17/I17-1)*100</f>
        <v>#NAME?</v>
      </c>
      <c r="K26" s="37" t="e">
        <f t="shared" ref="K26" ca="1" si="50">(K17/J17-1)*100</f>
        <v>#NAME?</v>
      </c>
      <c r="L26" s="37" t="e">
        <f t="shared" ref="L26" ca="1" si="51">(L17/K17-1)*100</f>
        <v>#NAME?</v>
      </c>
      <c r="M26" s="37" t="e">
        <f t="shared" ref="M26" ca="1" si="52">(M17/L17-1)*100</f>
        <v>#NAME?</v>
      </c>
      <c r="N26" s="37" t="e">
        <f t="shared" ref="N26" ca="1" si="53">(N17/M17-1)*100</f>
        <v>#NAME?</v>
      </c>
      <c r="O26" s="37" t="e">
        <f t="shared" ref="O26" ca="1" si="54">(O17/N17-1)*100</f>
        <v>#NAME?</v>
      </c>
      <c r="P26" s="37" t="e">
        <f t="shared" ref="P26" ca="1" si="55">(P17/O17-1)*100</f>
        <v>#NAME?</v>
      </c>
      <c r="Q26" s="37" t="e">
        <f t="shared" ref="Q26" ca="1" si="56">(Q17/P17-1)*100</f>
        <v>#NAME?</v>
      </c>
      <c r="R26" s="37" t="e">
        <f t="shared" ref="R26" ca="1" si="57">(R17/Q17-1)*100</f>
        <v>#NAME?</v>
      </c>
      <c r="S26" s="37" t="e">
        <f t="shared" ref="S26" ca="1" si="58">(S17/R17-1)*100</f>
        <v>#NAME?</v>
      </c>
      <c r="T26" s="37" t="e">
        <f t="shared" ref="T26" ca="1" si="59">(T17/S17-1)*100</f>
        <v>#NAME?</v>
      </c>
      <c r="U26" s="37" t="e">
        <f t="shared" ref="U26" ca="1" si="60">(U17/T17-1)*100</f>
        <v>#NAME?</v>
      </c>
      <c r="V26" s="37" t="e">
        <f t="shared" ref="V26" ca="1" si="61">(V17/U17-1)*100</f>
        <v>#NAME?</v>
      </c>
      <c r="W26" s="37" t="e">
        <f t="shared" ref="W26" ca="1" si="62">(W17/V17-1)*100</f>
        <v>#NAME?</v>
      </c>
      <c r="X26" s="37" t="e">
        <f t="shared" ref="X26" ca="1" si="63">(X17/W17-1)*100</f>
        <v>#NAME?</v>
      </c>
      <c r="Y26" s="37" t="e">
        <f t="shared" ref="Y26" ca="1" si="64">(Y17/X17-1)*100</f>
        <v>#NAME?</v>
      </c>
      <c r="Z26" s="37" t="e">
        <f t="shared" ref="Z26" ca="1" si="65">(Z17/Y17-1)*100</f>
        <v>#NAME?</v>
      </c>
      <c r="AA26" s="37" t="e">
        <f t="shared" ref="AA26" ca="1" si="66">(AA17/Z17-1)*100</f>
        <v>#NAME?</v>
      </c>
      <c r="AB26" s="40" t="e">
        <f t="shared" ref="AB26" ca="1" si="67">(AB17/AA17-1)*100</f>
        <v>#NAME?</v>
      </c>
      <c r="AC26" s="41" t="e">
        <f t="shared" ref="AC26" ca="1" si="68">(AC17/AB17-1)*100</f>
        <v>#NAME?</v>
      </c>
      <c r="AD26" s="36" t="e">
        <f t="shared" ref="AD26" ca="1" si="69">(AD17/AC17-1)*100</f>
        <v>#NAME?</v>
      </c>
      <c r="AE26" s="36" t="e">
        <f t="shared" ref="AE26" ca="1" si="70">(AE17/AD17-1)*100</f>
        <v>#NAME?</v>
      </c>
      <c r="AF26" s="36" t="e">
        <f t="shared" ref="AF26" ca="1" si="71">(AF17/AE17-1)*100</f>
        <v>#NAME?</v>
      </c>
      <c r="AG26" s="36" t="e">
        <f t="shared" ref="AG26" ca="1" si="72">(AG17/AF17-1)*100</f>
        <v>#NAME?</v>
      </c>
      <c r="AH26" s="36" t="e">
        <f t="shared" ref="AH26" ca="1" si="73">(AH17/AG17-1)*100</f>
        <v>#NAME?</v>
      </c>
      <c r="AI26" s="36" t="e">
        <f t="shared" ref="AI26" ca="1" si="74">(AI17/AH17-1)*100</f>
        <v>#NAME?</v>
      </c>
      <c r="AJ26" s="36" t="e">
        <f t="shared" ref="AJ26" ca="1" si="75">(AJ17/AI17-1)*100</f>
        <v>#NAME?</v>
      </c>
      <c r="AK26" s="35"/>
      <c r="AL26" s="35"/>
      <c r="AM26" s="3"/>
      <c r="AN26" s="3"/>
    </row>
    <row r="27" spans="2:40" ht="18" customHeight="1" thickBot="1" x14ac:dyDescent="0.35">
      <c r="B27" s="9"/>
      <c r="C27" s="9"/>
      <c r="D27" s="42" t="s">
        <v>3</v>
      </c>
      <c r="E27" s="59"/>
      <c r="F27" s="60" t="e">
        <f t="shared" ref="F27:AB27" ca="1" si="76">(F20/E20-1)*100</f>
        <v>#NAME?</v>
      </c>
      <c r="G27" s="60" t="e">
        <f t="shared" ca="1" si="76"/>
        <v>#NAME?</v>
      </c>
      <c r="H27" s="60" t="e">
        <f t="shared" ca="1" si="76"/>
        <v>#NAME?</v>
      </c>
      <c r="I27" s="60" t="e">
        <f t="shared" ca="1" si="76"/>
        <v>#NAME?</v>
      </c>
      <c r="J27" s="60" t="e">
        <f t="shared" ca="1" si="76"/>
        <v>#NAME?</v>
      </c>
      <c r="K27" s="60" t="e">
        <f t="shared" ca="1" si="76"/>
        <v>#NAME?</v>
      </c>
      <c r="L27" s="60" t="e">
        <f t="shared" ca="1" si="76"/>
        <v>#NAME?</v>
      </c>
      <c r="M27" s="60" t="e">
        <f t="shared" ca="1" si="76"/>
        <v>#NAME?</v>
      </c>
      <c r="N27" s="60" t="e">
        <f t="shared" ca="1" si="76"/>
        <v>#NAME?</v>
      </c>
      <c r="O27" s="60" t="e">
        <f t="shared" ca="1" si="76"/>
        <v>#NAME?</v>
      </c>
      <c r="P27" s="60" t="e">
        <f t="shared" ca="1" si="76"/>
        <v>#NAME?</v>
      </c>
      <c r="Q27" s="60" t="e">
        <f t="shared" ca="1" si="76"/>
        <v>#NAME?</v>
      </c>
      <c r="R27" s="60" t="e">
        <f t="shared" ca="1" si="76"/>
        <v>#NAME?</v>
      </c>
      <c r="S27" s="60" t="e">
        <f t="shared" ca="1" si="76"/>
        <v>#NAME?</v>
      </c>
      <c r="T27" s="60" t="e">
        <f t="shared" ca="1" si="76"/>
        <v>#NAME?</v>
      </c>
      <c r="U27" s="60" t="e">
        <f t="shared" ca="1" si="76"/>
        <v>#NAME?</v>
      </c>
      <c r="V27" s="60" t="e">
        <f t="shared" ca="1" si="76"/>
        <v>#NAME?</v>
      </c>
      <c r="W27" s="60" t="e">
        <f t="shared" ca="1" si="76"/>
        <v>#NAME?</v>
      </c>
      <c r="X27" s="60" t="e">
        <f t="shared" ca="1" si="76"/>
        <v>#NAME?</v>
      </c>
      <c r="Y27" s="60" t="e">
        <f t="shared" ca="1" si="76"/>
        <v>#NAME?</v>
      </c>
      <c r="Z27" s="60" t="e">
        <f t="shared" ca="1" si="76"/>
        <v>#NAME?</v>
      </c>
      <c r="AA27" s="60" t="e">
        <f t="shared" ca="1" si="76"/>
        <v>#NAME?</v>
      </c>
      <c r="AB27" s="61" t="e">
        <f t="shared" ca="1" si="76"/>
        <v>#NAME?</v>
      </c>
      <c r="AC27" s="62" t="e">
        <f t="shared" ref="AC27" ca="1" si="77">(AC20/AB20-1)*100</f>
        <v>#NAME?</v>
      </c>
      <c r="AD27" s="43" t="e">
        <f t="shared" ref="AD27" ca="1" si="78">(AD20/AC20-1)*100</f>
        <v>#NAME?</v>
      </c>
      <c r="AE27" s="43" t="e">
        <f t="shared" ref="AE27" ca="1" si="79">(AE20/AD20-1)*100</f>
        <v>#NAME?</v>
      </c>
      <c r="AF27" s="43" t="e">
        <f t="shared" ref="AF27" ca="1" si="80">(AF20/AE20-1)*100</f>
        <v>#NAME?</v>
      </c>
      <c r="AG27" s="43" t="e">
        <f t="shared" ref="AG27" ca="1" si="81">(AG20/AF20-1)*100</f>
        <v>#NAME?</v>
      </c>
      <c r="AH27" s="43" t="e">
        <f t="shared" ref="AH27" ca="1" si="82">(AH20/AG20-1)*100</f>
        <v>#NAME?</v>
      </c>
      <c r="AI27" s="43" t="e">
        <f t="shared" ref="AI27" ca="1" si="83">(AI20/AH20-1)*100</f>
        <v>#NAME?</v>
      </c>
      <c r="AJ27" s="43" t="e">
        <f t="shared" ref="AJ27" ca="1" si="84">(AJ20/AI20-1)*100</f>
        <v>#NAME?</v>
      </c>
      <c r="AK27" s="35"/>
      <c r="AL27" s="35"/>
      <c r="AM27" s="3"/>
      <c r="AN27" s="3"/>
    </row>
    <row r="28" spans="2:40" ht="18" customHeight="1" thickTop="1" thickBot="1" x14ac:dyDescent="0.35">
      <c r="B28" s="9"/>
      <c r="C28" s="9"/>
      <c r="D28" s="12" t="s">
        <v>12</v>
      </c>
      <c r="E28" s="13" t="s">
        <v>68</v>
      </c>
      <c r="F28" s="13" t="s">
        <v>69</v>
      </c>
      <c r="G28" s="13" t="s">
        <v>70</v>
      </c>
      <c r="H28" s="13" t="s">
        <v>71</v>
      </c>
      <c r="I28" s="13" t="s">
        <v>72</v>
      </c>
      <c r="J28" s="13" t="s">
        <v>73</v>
      </c>
      <c r="K28" s="13" t="s">
        <v>74</v>
      </c>
      <c r="L28" s="13" t="s">
        <v>75</v>
      </c>
      <c r="M28" s="13" t="s">
        <v>76</v>
      </c>
      <c r="N28" s="13" t="s">
        <v>77</v>
      </c>
      <c r="O28" s="13" t="s">
        <v>78</v>
      </c>
      <c r="P28" s="13" t="s">
        <v>79</v>
      </c>
      <c r="Q28" s="13" t="s">
        <v>80</v>
      </c>
      <c r="R28" s="13" t="s">
        <v>81</v>
      </c>
      <c r="S28" s="13" t="s">
        <v>82</v>
      </c>
      <c r="T28" s="13" t="s">
        <v>83</v>
      </c>
      <c r="U28" s="13" t="s">
        <v>84</v>
      </c>
      <c r="V28" s="13" t="s">
        <v>85</v>
      </c>
      <c r="W28" s="13" t="s">
        <v>86</v>
      </c>
      <c r="X28" s="13" t="s">
        <v>87</v>
      </c>
      <c r="Y28" s="13" t="s">
        <v>88</v>
      </c>
      <c r="Z28" s="13" t="s">
        <v>89</v>
      </c>
      <c r="AA28" s="13" t="s">
        <v>45</v>
      </c>
      <c r="AB28" s="13" t="s">
        <v>43</v>
      </c>
      <c r="AC28" s="56" t="s">
        <v>41</v>
      </c>
      <c r="AD28" s="14" t="s">
        <v>90</v>
      </c>
      <c r="AE28" s="14" t="s">
        <v>91</v>
      </c>
      <c r="AF28" s="14" t="s">
        <v>92</v>
      </c>
      <c r="AG28" s="14" t="s">
        <v>100</v>
      </c>
      <c r="AH28" s="14" t="s">
        <v>102</v>
      </c>
      <c r="AI28" s="14" t="s">
        <v>101</v>
      </c>
      <c r="AJ28" s="14" t="s">
        <v>103</v>
      </c>
      <c r="AK28" s="15"/>
      <c r="AL28" s="15"/>
      <c r="AM28" s="3"/>
      <c r="AN28" s="3"/>
    </row>
    <row r="29" spans="2:40" ht="18" customHeight="1" x14ac:dyDescent="0.3">
      <c r="B29" s="9"/>
      <c r="C29" s="9"/>
      <c r="D29" s="22" t="s">
        <v>13</v>
      </c>
      <c r="E29" s="57"/>
      <c r="F29" s="47"/>
      <c r="G29" s="47"/>
      <c r="H29" s="47"/>
      <c r="I29" s="47" t="e">
        <f ca="1">(I10/E10-1)*100</f>
        <v>#NAME?</v>
      </c>
      <c r="J29" s="47" t="e">
        <f t="shared" ref="J29:AC29" ca="1" si="85">(J10/F10-1)*100</f>
        <v>#NAME?</v>
      </c>
      <c r="K29" s="47" t="e">
        <f t="shared" ca="1" si="85"/>
        <v>#NAME?</v>
      </c>
      <c r="L29" s="47" t="e">
        <f t="shared" ca="1" si="85"/>
        <v>#NAME?</v>
      </c>
      <c r="M29" s="47" t="e">
        <f t="shared" ca="1" si="85"/>
        <v>#NAME?</v>
      </c>
      <c r="N29" s="47" t="e">
        <f t="shared" ca="1" si="85"/>
        <v>#NAME?</v>
      </c>
      <c r="O29" s="47" t="e">
        <f t="shared" ca="1" si="85"/>
        <v>#NAME?</v>
      </c>
      <c r="P29" s="47" t="e">
        <f t="shared" ca="1" si="85"/>
        <v>#NAME?</v>
      </c>
      <c r="Q29" s="47" t="e">
        <f t="shared" ca="1" si="85"/>
        <v>#NAME?</v>
      </c>
      <c r="R29" s="47" t="e">
        <f t="shared" ca="1" si="85"/>
        <v>#NAME?</v>
      </c>
      <c r="S29" s="47" t="e">
        <f t="shared" ca="1" si="85"/>
        <v>#NAME?</v>
      </c>
      <c r="T29" s="47" t="e">
        <f t="shared" ca="1" si="85"/>
        <v>#NAME?</v>
      </c>
      <c r="U29" s="47" t="e">
        <f t="shared" ca="1" si="85"/>
        <v>#NAME?</v>
      </c>
      <c r="V29" s="47" t="e">
        <f t="shared" ca="1" si="85"/>
        <v>#NAME?</v>
      </c>
      <c r="W29" s="47" t="e">
        <f t="shared" ca="1" si="85"/>
        <v>#NAME?</v>
      </c>
      <c r="X29" s="47" t="e">
        <f t="shared" ca="1" si="85"/>
        <v>#NAME?</v>
      </c>
      <c r="Y29" s="47" t="e">
        <f t="shared" ca="1" si="85"/>
        <v>#NAME?</v>
      </c>
      <c r="Z29" s="47" t="e">
        <f t="shared" ca="1" si="85"/>
        <v>#NAME?</v>
      </c>
      <c r="AA29" s="47" t="e">
        <f t="shared" ca="1" si="85"/>
        <v>#NAME?</v>
      </c>
      <c r="AB29" s="48" t="e">
        <f t="shared" ca="1" si="85"/>
        <v>#NAME?</v>
      </c>
      <c r="AC29" s="49" t="e">
        <f t="shared" ca="1" si="85"/>
        <v>#NAME?</v>
      </c>
      <c r="AD29" s="36" t="e">
        <f ca="1">(AD10/Z10-1)*100</f>
        <v>#NAME?</v>
      </c>
      <c r="AE29" s="36" t="e">
        <f t="shared" ref="AE29" ca="1" si="86">(AE10/AA10-1)*100</f>
        <v>#NAME?</v>
      </c>
      <c r="AF29" s="36" t="e">
        <f t="shared" ref="AF29" ca="1" si="87">(AF10/AB10-1)*100</f>
        <v>#NAME?</v>
      </c>
      <c r="AG29" s="36" t="e">
        <f t="shared" ref="AG29" ca="1" si="88">(AG10/AC10-1)*100</f>
        <v>#NAME?</v>
      </c>
      <c r="AH29" s="36" t="e">
        <f t="shared" ref="AH29" ca="1" si="89">(AH10/AD10-1)*100</f>
        <v>#NAME?</v>
      </c>
      <c r="AI29" s="36" t="e">
        <f t="shared" ref="AI29" ca="1" si="90">(AI10/AE10-1)*100</f>
        <v>#NAME?</v>
      </c>
      <c r="AJ29" s="36" t="e">
        <f t="shared" ref="AJ29" ca="1" si="91">(AJ10/AF10-1)*100</f>
        <v>#NAME?</v>
      </c>
      <c r="AK29" s="35"/>
      <c r="AL29" s="35"/>
      <c r="AM29" s="3"/>
      <c r="AN29" s="3"/>
    </row>
    <row r="30" spans="2:40" ht="18" customHeight="1" x14ac:dyDescent="0.3">
      <c r="B30" s="9"/>
      <c r="C30" s="9"/>
      <c r="D30" s="22" t="s">
        <v>18</v>
      </c>
      <c r="E30" s="58"/>
      <c r="F30" s="37"/>
      <c r="G30" s="37"/>
      <c r="H30" s="37"/>
      <c r="I30" s="37" t="e">
        <f ca="1">(I13/E13-1)*100</f>
        <v>#NAME?</v>
      </c>
      <c r="J30" s="37" t="e">
        <f t="shared" ref="J30:AC30" ca="1" si="92">(J13/F13-1)*100</f>
        <v>#NAME?</v>
      </c>
      <c r="K30" s="37" t="e">
        <f t="shared" ca="1" si="92"/>
        <v>#NAME?</v>
      </c>
      <c r="L30" s="37" t="e">
        <f t="shared" ca="1" si="92"/>
        <v>#NAME?</v>
      </c>
      <c r="M30" s="37" t="e">
        <f t="shared" ca="1" si="92"/>
        <v>#NAME?</v>
      </c>
      <c r="N30" s="37" t="e">
        <f t="shared" ca="1" si="92"/>
        <v>#NAME?</v>
      </c>
      <c r="O30" s="37" t="e">
        <f t="shared" ca="1" si="92"/>
        <v>#NAME?</v>
      </c>
      <c r="P30" s="37" t="e">
        <f t="shared" ca="1" si="92"/>
        <v>#NAME?</v>
      </c>
      <c r="Q30" s="37" t="e">
        <f t="shared" ca="1" si="92"/>
        <v>#NAME?</v>
      </c>
      <c r="R30" s="37" t="e">
        <f t="shared" ca="1" si="92"/>
        <v>#NAME?</v>
      </c>
      <c r="S30" s="37" t="e">
        <f t="shared" ca="1" si="92"/>
        <v>#NAME?</v>
      </c>
      <c r="T30" s="37" t="e">
        <f t="shared" ca="1" si="92"/>
        <v>#NAME?</v>
      </c>
      <c r="U30" s="37" t="e">
        <f t="shared" ca="1" si="92"/>
        <v>#NAME?</v>
      </c>
      <c r="V30" s="37" t="e">
        <f t="shared" ca="1" si="92"/>
        <v>#NAME?</v>
      </c>
      <c r="W30" s="37" t="e">
        <f t="shared" ca="1" si="92"/>
        <v>#NAME?</v>
      </c>
      <c r="X30" s="37" t="e">
        <f t="shared" ca="1" si="92"/>
        <v>#NAME?</v>
      </c>
      <c r="Y30" s="37" t="e">
        <f t="shared" ca="1" si="92"/>
        <v>#NAME?</v>
      </c>
      <c r="Z30" s="37" t="e">
        <f t="shared" ca="1" si="92"/>
        <v>#NAME?</v>
      </c>
      <c r="AA30" s="37" t="e">
        <f t="shared" ca="1" si="92"/>
        <v>#NAME?</v>
      </c>
      <c r="AB30" s="38" t="e">
        <f t="shared" ca="1" si="92"/>
        <v>#NAME?</v>
      </c>
      <c r="AC30" s="39" t="e">
        <f t="shared" ca="1" si="92"/>
        <v>#NAME?</v>
      </c>
      <c r="AD30" s="36" t="e">
        <f ca="1">(AD13/Z13-1)*100</f>
        <v>#NAME?</v>
      </c>
      <c r="AE30" s="36" t="e">
        <f t="shared" ref="AE30" ca="1" si="93">(AE13/AA13-1)*100</f>
        <v>#NAME?</v>
      </c>
      <c r="AF30" s="36" t="e">
        <f t="shared" ref="AF30" ca="1" si="94">(AF13/AB13-1)*100</f>
        <v>#NAME?</v>
      </c>
      <c r="AG30" s="36" t="e">
        <f t="shared" ref="AG30" ca="1" si="95">(AG13/AC13-1)*100</f>
        <v>#NAME?</v>
      </c>
      <c r="AH30" s="36" t="e">
        <f t="shared" ref="AH30" ca="1" si="96">(AH13/AD13-1)*100</f>
        <v>#NAME?</v>
      </c>
      <c r="AI30" s="36" t="e">
        <f t="shared" ref="AI30" ca="1" si="97">(AI13/AE13-1)*100</f>
        <v>#NAME?</v>
      </c>
      <c r="AJ30" s="36" t="e">
        <f t="shared" ref="AJ30" ca="1" si="98">(AJ13/AF13-1)*100</f>
        <v>#NAME?</v>
      </c>
      <c r="AK30" s="35"/>
      <c r="AL30" s="35"/>
      <c r="AM30" s="3"/>
      <c r="AN30" s="3"/>
    </row>
    <row r="31" spans="2:40" ht="18" customHeight="1" x14ac:dyDescent="0.3">
      <c r="B31" s="9"/>
      <c r="C31" s="9"/>
      <c r="D31" s="22" t="s">
        <v>14</v>
      </c>
      <c r="E31" s="58"/>
      <c r="F31" s="37"/>
      <c r="G31" s="37"/>
      <c r="H31" s="37"/>
      <c r="I31" s="37" t="e">
        <f ca="1">(I15/E15-1)*100</f>
        <v>#NAME?</v>
      </c>
      <c r="J31" s="37" t="e">
        <f t="shared" ref="J31:AC31" ca="1" si="99">(J15/F15-1)*100</f>
        <v>#NAME?</v>
      </c>
      <c r="K31" s="37" t="e">
        <f t="shared" ca="1" si="99"/>
        <v>#NAME?</v>
      </c>
      <c r="L31" s="37" t="e">
        <f t="shared" ca="1" si="99"/>
        <v>#NAME?</v>
      </c>
      <c r="M31" s="37" t="e">
        <f t="shared" ca="1" si="99"/>
        <v>#NAME?</v>
      </c>
      <c r="N31" s="37" t="e">
        <f t="shared" ca="1" si="99"/>
        <v>#NAME?</v>
      </c>
      <c r="O31" s="37" t="e">
        <f t="shared" ca="1" si="99"/>
        <v>#NAME?</v>
      </c>
      <c r="P31" s="37" t="e">
        <f t="shared" ca="1" si="99"/>
        <v>#NAME?</v>
      </c>
      <c r="Q31" s="37" t="e">
        <f t="shared" ca="1" si="99"/>
        <v>#NAME?</v>
      </c>
      <c r="R31" s="37" t="e">
        <f t="shared" ca="1" si="99"/>
        <v>#NAME?</v>
      </c>
      <c r="S31" s="37" t="e">
        <f t="shared" ca="1" si="99"/>
        <v>#NAME?</v>
      </c>
      <c r="T31" s="37" t="e">
        <f t="shared" ca="1" si="99"/>
        <v>#NAME?</v>
      </c>
      <c r="U31" s="37" t="e">
        <f t="shared" ca="1" si="99"/>
        <v>#NAME?</v>
      </c>
      <c r="V31" s="37" t="e">
        <f t="shared" ca="1" si="99"/>
        <v>#NAME?</v>
      </c>
      <c r="W31" s="37" t="e">
        <f t="shared" ca="1" si="99"/>
        <v>#NAME?</v>
      </c>
      <c r="X31" s="37" t="e">
        <f t="shared" ca="1" si="99"/>
        <v>#NAME?</v>
      </c>
      <c r="Y31" s="37" t="e">
        <f t="shared" ca="1" si="99"/>
        <v>#NAME?</v>
      </c>
      <c r="Z31" s="37" t="e">
        <f t="shared" ca="1" si="99"/>
        <v>#NAME?</v>
      </c>
      <c r="AA31" s="37" t="e">
        <f t="shared" ca="1" si="99"/>
        <v>#NAME?</v>
      </c>
      <c r="AB31" s="40" t="e">
        <f t="shared" ca="1" si="99"/>
        <v>#NAME?</v>
      </c>
      <c r="AC31" s="41" t="e">
        <f t="shared" ca="1" si="99"/>
        <v>#NAME?</v>
      </c>
      <c r="AD31" s="36" t="e">
        <f ca="1">(AD15/Z15-1)*100</f>
        <v>#NAME?</v>
      </c>
      <c r="AE31" s="36" t="e">
        <f t="shared" ref="AE31" ca="1" si="100">(AE15/AA15-1)*100</f>
        <v>#NAME?</v>
      </c>
      <c r="AF31" s="36" t="e">
        <f t="shared" ref="AF31" ca="1" si="101">(AF15/AB15-1)*100</f>
        <v>#NAME?</v>
      </c>
      <c r="AG31" s="36" t="e">
        <f t="shared" ref="AG31" ca="1" si="102">(AG15/AC15-1)*100</f>
        <v>#NAME?</v>
      </c>
      <c r="AH31" s="36" t="e">
        <f t="shared" ref="AH31" ca="1" si="103">(AH15/AD15-1)*100</f>
        <v>#NAME?</v>
      </c>
      <c r="AI31" s="36" t="e">
        <f t="shared" ref="AI31" ca="1" si="104">(AI15/AE15-1)*100</f>
        <v>#NAME?</v>
      </c>
      <c r="AJ31" s="36" t="e">
        <f t="shared" ref="AJ31" ca="1" si="105">(AJ15/AF15-1)*100</f>
        <v>#NAME?</v>
      </c>
      <c r="AK31" s="35"/>
      <c r="AL31" s="35"/>
      <c r="AM31" s="3"/>
      <c r="AN31" s="3"/>
    </row>
    <row r="32" spans="2:40" ht="18" customHeight="1" x14ac:dyDescent="0.3">
      <c r="B32" s="9"/>
      <c r="C32" s="9"/>
      <c r="D32" s="22" t="s">
        <v>21</v>
      </c>
      <c r="E32" s="58"/>
      <c r="F32" s="37"/>
      <c r="G32" s="37"/>
      <c r="H32" s="37"/>
      <c r="I32" s="37" t="e">
        <f ca="1">(I17/E17-1)*100</f>
        <v>#NAME?</v>
      </c>
      <c r="J32" s="37" t="e">
        <f t="shared" ref="J32:AC32" ca="1" si="106">(J17/F17-1)*100</f>
        <v>#NAME?</v>
      </c>
      <c r="K32" s="37" t="e">
        <f t="shared" ca="1" si="106"/>
        <v>#NAME?</v>
      </c>
      <c r="L32" s="37" t="e">
        <f t="shared" ca="1" si="106"/>
        <v>#NAME?</v>
      </c>
      <c r="M32" s="37" t="e">
        <f t="shared" ca="1" si="106"/>
        <v>#NAME?</v>
      </c>
      <c r="N32" s="37" t="e">
        <f t="shared" ca="1" si="106"/>
        <v>#NAME?</v>
      </c>
      <c r="O32" s="37" t="e">
        <f t="shared" ca="1" si="106"/>
        <v>#NAME?</v>
      </c>
      <c r="P32" s="37" t="e">
        <f t="shared" ca="1" si="106"/>
        <v>#NAME?</v>
      </c>
      <c r="Q32" s="37" t="e">
        <f t="shared" ca="1" si="106"/>
        <v>#NAME?</v>
      </c>
      <c r="R32" s="37" t="e">
        <f t="shared" ca="1" si="106"/>
        <v>#NAME?</v>
      </c>
      <c r="S32" s="37" t="e">
        <f t="shared" ca="1" si="106"/>
        <v>#NAME?</v>
      </c>
      <c r="T32" s="37" t="e">
        <f t="shared" ca="1" si="106"/>
        <v>#NAME?</v>
      </c>
      <c r="U32" s="37" t="e">
        <f t="shared" ca="1" si="106"/>
        <v>#NAME?</v>
      </c>
      <c r="V32" s="37" t="e">
        <f t="shared" ca="1" si="106"/>
        <v>#NAME?</v>
      </c>
      <c r="W32" s="37" t="e">
        <f t="shared" ca="1" si="106"/>
        <v>#NAME?</v>
      </c>
      <c r="X32" s="37" t="e">
        <f t="shared" ca="1" si="106"/>
        <v>#NAME?</v>
      </c>
      <c r="Y32" s="37" t="e">
        <f t="shared" ca="1" si="106"/>
        <v>#NAME?</v>
      </c>
      <c r="Z32" s="37" t="e">
        <f t="shared" ca="1" si="106"/>
        <v>#NAME?</v>
      </c>
      <c r="AA32" s="37" t="e">
        <f t="shared" ca="1" si="106"/>
        <v>#NAME?</v>
      </c>
      <c r="AB32" s="40" t="e">
        <f t="shared" ca="1" si="106"/>
        <v>#NAME?</v>
      </c>
      <c r="AC32" s="41" t="e">
        <f t="shared" ca="1" si="106"/>
        <v>#NAME?</v>
      </c>
      <c r="AD32" s="36" t="e">
        <f ca="1">(AD17/Z17-1)*100</f>
        <v>#NAME?</v>
      </c>
      <c r="AE32" s="36" t="e">
        <f t="shared" ref="AE32" ca="1" si="107">(AE17/AA17-1)*100</f>
        <v>#NAME?</v>
      </c>
      <c r="AF32" s="36" t="e">
        <f t="shared" ref="AF32" ca="1" si="108">(AF17/AB17-1)*100</f>
        <v>#NAME?</v>
      </c>
      <c r="AG32" s="36" t="e">
        <f t="shared" ref="AG32" ca="1" si="109">(AG17/AC17-1)*100</f>
        <v>#NAME?</v>
      </c>
      <c r="AH32" s="36" t="e">
        <f t="shared" ref="AH32" ca="1" si="110">(AH17/AD17-1)*100</f>
        <v>#NAME?</v>
      </c>
      <c r="AI32" s="36" t="e">
        <f t="shared" ref="AI32" ca="1" si="111">(AI17/AE17-1)*100</f>
        <v>#NAME?</v>
      </c>
      <c r="AJ32" s="36" t="e">
        <f t="shared" ref="AJ32" ca="1" si="112">(AJ17/AF17-1)*100</f>
        <v>#NAME?</v>
      </c>
      <c r="AK32" s="35"/>
      <c r="AL32" s="35"/>
      <c r="AM32" s="3"/>
      <c r="AN32" s="3"/>
    </row>
    <row r="33" spans="2:40" ht="18" customHeight="1" thickBot="1" x14ac:dyDescent="0.35">
      <c r="B33" s="9"/>
      <c r="C33" s="9"/>
      <c r="D33" s="42" t="s">
        <v>3</v>
      </c>
      <c r="E33" s="59"/>
      <c r="F33" s="60"/>
      <c r="G33" s="60"/>
      <c r="H33" s="60"/>
      <c r="I33" s="60" t="e">
        <f ca="1">(I20/E20-1)*100</f>
        <v>#NAME?</v>
      </c>
      <c r="J33" s="60" t="e">
        <f t="shared" ref="J33:AC33" ca="1" si="113">(J20/F20-1)*100</f>
        <v>#NAME?</v>
      </c>
      <c r="K33" s="60" t="e">
        <f t="shared" ca="1" si="113"/>
        <v>#NAME?</v>
      </c>
      <c r="L33" s="60" t="e">
        <f t="shared" ca="1" si="113"/>
        <v>#NAME?</v>
      </c>
      <c r="M33" s="60" t="e">
        <f t="shared" ca="1" si="113"/>
        <v>#NAME?</v>
      </c>
      <c r="N33" s="60" t="e">
        <f t="shared" ca="1" si="113"/>
        <v>#NAME?</v>
      </c>
      <c r="O33" s="60" t="e">
        <f t="shared" ca="1" si="113"/>
        <v>#NAME?</v>
      </c>
      <c r="P33" s="60" t="e">
        <f t="shared" ca="1" si="113"/>
        <v>#NAME?</v>
      </c>
      <c r="Q33" s="60" t="e">
        <f t="shared" ca="1" si="113"/>
        <v>#NAME?</v>
      </c>
      <c r="R33" s="60" t="e">
        <f t="shared" ca="1" si="113"/>
        <v>#NAME?</v>
      </c>
      <c r="S33" s="60" t="e">
        <f t="shared" ca="1" si="113"/>
        <v>#NAME?</v>
      </c>
      <c r="T33" s="60" t="e">
        <f t="shared" ca="1" si="113"/>
        <v>#NAME?</v>
      </c>
      <c r="U33" s="60" t="e">
        <f t="shared" ca="1" si="113"/>
        <v>#NAME?</v>
      </c>
      <c r="V33" s="60" t="e">
        <f t="shared" ca="1" si="113"/>
        <v>#NAME?</v>
      </c>
      <c r="W33" s="60" t="e">
        <f t="shared" ca="1" si="113"/>
        <v>#NAME?</v>
      </c>
      <c r="X33" s="60" t="e">
        <f t="shared" ca="1" si="113"/>
        <v>#NAME?</v>
      </c>
      <c r="Y33" s="60" t="e">
        <f t="shared" ca="1" si="113"/>
        <v>#NAME?</v>
      </c>
      <c r="Z33" s="60" t="e">
        <f t="shared" ca="1" si="113"/>
        <v>#NAME?</v>
      </c>
      <c r="AA33" s="60" t="e">
        <f t="shared" ca="1" si="113"/>
        <v>#NAME?</v>
      </c>
      <c r="AB33" s="61" t="e">
        <f t="shared" ca="1" si="113"/>
        <v>#NAME?</v>
      </c>
      <c r="AC33" s="62" t="e">
        <f t="shared" ca="1" si="113"/>
        <v>#NAME?</v>
      </c>
      <c r="AD33" s="43" t="e">
        <f ca="1">(AD20/Z20-1)*100</f>
        <v>#NAME?</v>
      </c>
      <c r="AE33" s="43" t="e">
        <f t="shared" ref="AE33" ca="1" si="114">(AE20/AA20-1)*100</f>
        <v>#NAME?</v>
      </c>
      <c r="AF33" s="43" t="e">
        <f t="shared" ref="AF33" ca="1" si="115">(AF20/AB20-1)*100</f>
        <v>#NAME?</v>
      </c>
      <c r="AG33" s="43" t="e">
        <f t="shared" ref="AG33" ca="1" si="116">(AG20/AC20-1)*100</f>
        <v>#NAME?</v>
      </c>
      <c r="AH33" s="43" t="e">
        <f t="shared" ref="AH33" ca="1" si="117">(AH20/AD20-1)*100</f>
        <v>#NAME?</v>
      </c>
      <c r="AI33" s="43" t="e">
        <f t="shared" ref="AI33" ca="1" si="118">(AI20/AE20-1)*100</f>
        <v>#NAME?</v>
      </c>
      <c r="AJ33" s="43" t="e">
        <f t="shared" ref="AJ33" ca="1" si="119">(AJ20/AF20-1)*100</f>
        <v>#NAME?</v>
      </c>
      <c r="AK33" s="35"/>
      <c r="AL33" s="35"/>
      <c r="AM33" s="3"/>
      <c r="AN33" s="3"/>
    </row>
    <row r="34" spans="2:40" ht="18" customHeight="1" thickTop="1" thickBot="1" x14ac:dyDescent="0.35">
      <c r="B34" s="7"/>
      <c r="D34" s="44" t="s">
        <v>24</v>
      </c>
      <c r="E34" s="13" t="s">
        <v>68</v>
      </c>
      <c r="F34" s="13" t="s">
        <v>69</v>
      </c>
      <c r="G34" s="13" t="s">
        <v>70</v>
      </c>
      <c r="H34" s="13" t="s">
        <v>71</v>
      </c>
      <c r="I34" s="13" t="s">
        <v>72</v>
      </c>
      <c r="J34" s="13" t="s">
        <v>73</v>
      </c>
      <c r="K34" s="13" t="s">
        <v>74</v>
      </c>
      <c r="L34" s="13" t="s">
        <v>75</v>
      </c>
      <c r="M34" s="13" t="s">
        <v>76</v>
      </c>
      <c r="N34" s="13" t="s">
        <v>77</v>
      </c>
      <c r="O34" s="13" t="s">
        <v>78</v>
      </c>
      <c r="P34" s="13" t="s">
        <v>79</v>
      </c>
      <c r="Q34" s="13" t="s">
        <v>80</v>
      </c>
      <c r="R34" s="13" t="s">
        <v>81</v>
      </c>
      <c r="S34" s="13" t="s">
        <v>82</v>
      </c>
      <c r="T34" s="13" t="s">
        <v>83</v>
      </c>
      <c r="U34" s="13" t="s">
        <v>84</v>
      </c>
      <c r="V34" s="13" t="s">
        <v>85</v>
      </c>
      <c r="W34" s="13" t="s">
        <v>86</v>
      </c>
      <c r="X34" s="45" t="s">
        <v>87</v>
      </c>
      <c r="Y34" s="45" t="s">
        <v>88</v>
      </c>
      <c r="Z34" s="45" t="s">
        <v>89</v>
      </c>
      <c r="AA34" s="45" t="s">
        <v>45</v>
      </c>
      <c r="AB34" s="45" t="s">
        <v>43</v>
      </c>
      <c r="AC34" s="44" t="s">
        <v>41</v>
      </c>
      <c r="AD34" s="14" t="s">
        <v>90</v>
      </c>
      <c r="AE34" s="14" t="s">
        <v>91</v>
      </c>
      <c r="AF34" s="14" t="s">
        <v>92</v>
      </c>
      <c r="AG34" s="14" t="s">
        <v>100</v>
      </c>
      <c r="AH34" s="14" t="s">
        <v>102</v>
      </c>
      <c r="AI34" s="14" t="s">
        <v>101</v>
      </c>
      <c r="AJ34" s="14" t="s">
        <v>103</v>
      </c>
      <c r="AK34" s="10"/>
      <c r="AL34" s="10"/>
      <c r="AM34" s="3"/>
      <c r="AN34" s="3"/>
    </row>
    <row r="35" spans="2:40" ht="18" customHeight="1" thickTop="1" x14ac:dyDescent="0.3">
      <c r="B35" s="7" t="s">
        <v>29</v>
      </c>
      <c r="C35" s="6" t="s">
        <v>25</v>
      </c>
      <c r="D35" s="22" t="s">
        <v>27</v>
      </c>
      <c r="E35" s="50" t="e">
        <f ca="1">_xll.BDH($D$4,$B35,E$6,E$6,"Period=FQ","BEST_FPERIOD_OVERRIDE=FQ","FILING_STATUS=MR","SCALING_FORMAT=MLN","FA_ADJUSTED=Adjusted","Sort=A","Dates=H","DateFormat=P","Fill=—","Direction=H","UseDPDF=Y",$G$4)</f>
        <v>#NAME?</v>
      </c>
      <c r="F35" s="50" t="e">
        <f ca="1">_xll.BDH($D$4,$B35,F$6,F$6,"Period=FQ","BEST_FPERIOD_OVERRIDE=FQ","FILING_STATUS=MR","SCALING_FORMAT=MLN","FA_ADJUSTED=Adjusted","Sort=A","Dates=H","DateFormat=P","Fill=—","Direction=H","UseDPDF=Y",$G$4)</f>
        <v>#NAME?</v>
      </c>
      <c r="G35" s="50" t="e">
        <f ca="1">_xll.BDH($D$4,$B35,G$6,G$6,"Period=FQ","BEST_FPERIOD_OVERRIDE=FQ","FILING_STATUS=MR","SCALING_FORMAT=MLN","FA_ADJUSTED=Adjusted","Sort=A","Dates=H","DateFormat=P","Fill=—","Direction=H","UseDPDF=Y",$G$4)</f>
        <v>#NAME?</v>
      </c>
      <c r="H35" s="50" t="e">
        <f ca="1">_xll.BDH($D$4,$B35,H$6,H$6,"Period=FQ","BEST_FPERIOD_OVERRIDE=FQ","FILING_STATUS=MR","SCALING_FORMAT=MLN","FA_ADJUSTED=Adjusted","Sort=A","Dates=H","DateFormat=P","Fill=—","Direction=H","UseDPDF=Y",$G$4)</f>
        <v>#NAME?</v>
      </c>
      <c r="I35" s="50" t="e">
        <f ca="1">_xll.BDH($D$4,$B35,I$6,I$6,"Period=FQ","BEST_FPERIOD_OVERRIDE=FQ","FILING_STATUS=MR","SCALING_FORMAT=MLN","FA_ADJUSTED=Adjusted","Sort=A","Dates=H","DateFormat=P","Fill=—","Direction=H","UseDPDF=Y",$G$4)</f>
        <v>#NAME?</v>
      </c>
      <c r="J35" s="50" t="e">
        <f ca="1">_xll.BDH($D$4,$B35,J$6,J$6,"Period=FQ","BEST_FPERIOD_OVERRIDE=FQ","FILING_STATUS=MR","SCALING_FORMAT=MLN","FA_ADJUSTED=Adjusted","Sort=A","Dates=H","DateFormat=P","Fill=—","Direction=H","UseDPDF=Y",$G$4)</f>
        <v>#NAME?</v>
      </c>
      <c r="K35" s="50" t="e">
        <f ca="1">_xll.BDH($D$4,$B35,K$6,K$6,"Period=FQ","BEST_FPERIOD_OVERRIDE=FQ","FILING_STATUS=MR","SCALING_FORMAT=MLN","FA_ADJUSTED=Adjusted","Sort=A","Dates=H","DateFormat=P","Fill=—","Direction=H","UseDPDF=Y",$G$4)</f>
        <v>#NAME?</v>
      </c>
      <c r="L35" s="50" t="e">
        <f ca="1">_xll.BDH($D$4,$B35,L$6,L$6,"Period=FQ","BEST_FPERIOD_OVERRIDE=FQ","FILING_STATUS=MR","SCALING_FORMAT=MLN","FA_ADJUSTED=Adjusted","Sort=A","Dates=H","DateFormat=P","Fill=—","Direction=H","UseDPDF=Y",$G$4)</f>
        <v>#NAME?</v>
      </c>
      <c r="M35" s="50" t="e">
        <f ca="1">_xll.BDH($D$4,$B35,M$6,M$6,"Period=FQ","BEST_FPERIOD_OVERRIDE=FQ","FILING_STATUS=MR","SCALING_FORMAT=MLN","FA_ADJUSTED=Adjusted","Sort=A","Dates=H","DateFormat=P","Fill=—","Direction=H","UseDPDF=Y",$G$4)</f>
        <v>#NAME?</v>
      </c>
      <c r="N35" s="50" t="e">
        <f ca="1">_xll.BDH($D$4,$B35,N$6,N$6,"Period=FQ","BEST_FPERIOD_OVERRIDE=FQ","FILING_STATUS=MR","SCALING_FORMAT=MLN","FA_ADJUSTED=Adjusted","Sort=A","Dates=H","DateFormat=P","Fill=—","Direction=H","UseDPDF=Y",$G$4)</f>
        <v>#NAME?</v>
      </c>
      <c r="O35" s="50" t="e">
        <f ca="1">_xll.BDH($D$4,$B35,O$6,O$6,"Period=FQ","BEST_FPERIOD_OVERRIDE=FQ","FILING_STATUS=MR","SCALING_FORMAT=MLN","FA_ADJUSTED=Adjusted","Sort=A","Dates=H","DateFormat=P","Fill=—","Direction=H","UseDPDF=Y",$G$4)</f>
        <v>#NAME?</v>
      </c>
      <c r="P35" s="50" t="e">
        <f ca="1">_xll.BDH($D$4,$B35,P$6,P$6,"Period=FQ","BEST_FPERIOD_OVERRIDE=FQ","FILING_STATUS=MR","SCALING_FORMAT=MLN","FA_ADJUSTED=Adjusted","Sort=A","Dates=H","DateFormat=P","Fill=—","Direction=H","UseDPDF=Y",$G$4)</f>
        <v>#NAME?</v>
      </c>
      <c r="Q35" s="50" t="e">
        <f ca="1">_xll.BDH($D$4,$B35,Q$6,Q$6,"Period=FQ","BEST_FPERIOD_OVERRIDE=FQ","FILING_STATUS=MR","SCALING_FORMAT=MLN","FA_ADJUSTED=Adjusted","Sort=A","Dates=H","DateFormat=P","Fill=—","Direction=H","UseDPDF=Y",$G$4)</f>
        <v>#NAME?</v>
      </c>
      <c r="R35" s="50" t="e">
        <f ca="1">_xll.BDH($D$4,$B35,R$6,R$6,"Period=FQ","BEST_FPERIOD_OVERRIDE=FQ","FILING_STATUS=MR","SCALING_FORMAT=MLN","FA_ADJUSTED=Adjusted","Sort=A","Dates=H","DateFormat=P","Fill=—","Direction=H","UseDPDF=Y",$G$4)</f>
        <v>#NAME?</v>
      </c>
      <c r="S35" s="50" t="e">
        <f ca="1">_xll.BDH($D$4,$B35,S$6,S$6,"Period=FQ","BEST_FPERIOD_OVERRIDE=FQ","FILING_STATUS=MR","SCALING_FORMAT=MLN","FA_ADJUSTED=Adjusted","Sort=A","Dates=H","DateFormat=P","Fill=—","Direction=H","UseDPDF=Y",$G$4)</f>
        <v>#NAME?</v>
      </c>
      <c r="T35" s="50" t="e">
        <f ca="1">_xll.BDH($D$4,$B35,T$6,T$6,"Period=FQ","BEST_FPERIOD_OVERRIDE=FQ","FILING_STATUS=MR","SCALING_FORMAT=MLN","FA_ADJUSTED=Adjusted","Sort=A","Dates=H","DateFormat=P","Fill=—","Direction=H","UseDPDF=Y",$G$4)</f>
        <v>#NAME?</v>
      </c>
      <c r="U35" s="50" t="e">
        <f ca="1">_xll.BDH($D$4,$B35,U$6,U$6,"Period=FQ","BEST_FPERIOD_OVERRIDE=FQ","FILING_STATUS=MR","SCALING_FORMAT=MLN","FA_ADJUSTED=Adjusted","Sort=A","Dates=H","DateFormat=P","Fill=—","Direction=H","UseDPDF=Y",$G$4)</f>
        <v>#NAME?</v>
      </c>
      <c r="V35" s="50" t="e">
        <f ca="1">_xll.BDH($D$4,$B35,V$6,V$6,"Period=FQ","BEST_FPERIOD_OVERRIDE=FQ","FILING_STATUS=MR","SCALING_FORMAT=MLN","FA_ADJUSTED=Adjusted","Sort=A","Dates=H","DateFormat=P","Fill=—","Direction=H","UseDPDF=Y",$G$4)</f>
        <v>#NAME?</v>
      </c>
      <c r="W35" s="50" t="e">
        <f ca="1">_xll.BDH($D$4,$B35,W$6,W$6,"Period=FQ","BEST_FPERIOD_OVERRIDE=FQ","FILING_STATUS=MR","SCALING_FORMAT=MLN","FA_ADJUSTED=Adjusted","Sort=A","Dates=H","DateFormat=P","Fill=—","Direction=H","UseDPDF=Y",$G$4)</f>
        <v>#NAME?</v>
      </c>
      <c r="X35" s="50" t="e">
        <f ca="1">_xll.BDH($D$4,$B35,X$6,X$6,"Period=FQ","BEST_FPERIOD_OVERRIDE=FQ","FILING_STATUS=MR","SCALING_FORMAT=MLN","FA_ADJUSTED=Adjusted","Sort=A","Dates=H","DateFormat=P","Fill=—","Direction=H","UseDPDF=Y",$G$4)</f>
        <v>#NAME?</v>
      </c>
      <c r="Y35" s="50" t="e">
        <f ca="1">_xll.BDH($D$4,$B35,Y$6,Y$6,"Period=FQ","BEST_FPERIOD_OVERRIDE=FQ","FILING_STATUS=MR","SCALING_FORMAT=MLN","FA_ADJUSTED=Adjusted","Sort=A","Dates=H","DateFormat=P","Fill=—","Direction=H","UseDPDF=Y",$G$4)</f>
        <v>#NAME?</v>
      </c>
      <c r="Z35" s="50" t="e">
        <f ca="1">_xll.BDH($D$4,$B35,Z$6,Z$6,"Period=FQ","BEST_FPERIOD_OVERRIDE=FQ","FILING_STATUS=MR","SCALING_FORMAT=MLN","FA_ADJUSTED=Adjusted","Sort=A","Dates=H","DateFormat=P","Fill=—","Direction=H","UseDPDF=Y",$G$4)</f>
        <v>#NAME?</v>
      </c>
      <c r="AA35" s="50" t="e">
        <f ca="1">_xll.BDH($D$4,$B35,AA$6,AA$6,"Period=FQ","BEST_FPERIOD_OVERRIDE=FQ","FILING_STATUS=MR","SCALING_FORMAT=MLN","FA_ADJUSTED=Adjusted","Sort=A","Dates=H","DateFormat=P","Fill=—","Direction=H","UseDPDF=Y",$G$4)</f>
        <v>#NAME?</v>
      </c>
      <c r="AB35" s="51" t="e">
        <f ca="1">_xll.BDH($D$4,$B35,AB$6,AB$6,"Period=FQ","BEST_FPERIOD_OVERRIDE=FQ","FILING_STATUS=MR","SCALING_FORMAT=MLN","FA_ADJUSTED=Adjusted","Sort=A","Dates=H","DateFormat=P","Fill=—","Direction=H","UseDPDF=Y",$G$4)</f>
        <v>#NAME?</v>
      </c>
      <c r="AC35" s="52" t="e">
        <f ca="1">_xll.BDH($D$4,$B35,AC$6,AC$6,"Period=FQ","BEST_FPERIOD_OVERRIDE=FQ","FILING_STATUS=MR","SCALING_FORMAT=MLN","FA_ADJUSTED=Adjusted","Sort=A","Dates=H","DateFormat=P","Fill=—","Direction=H","UseDPDF=Y",$G$4)</f>
        <v>#NAME?</v>
      </c>
      <c r="AD35" s="53" t="e">
        <f ca="1">_xll.BDP($D$4,$C35,AD$6,$G$4)</f>
        <v>#NAME?</v>
      </c>
      <c r="AE35" s="54" t="e">
        <f ca="1">_xll.BDP($D$4,$C35,AE$6,$G$4)</f>
        <v>#NAME?</v>
      </c>
      <c r="AF35" s="54" t="e">
        <f ca="1">_xll.BDP($D$4,$C35,AF$6,$G$4)</f>
        <v>#NAME?</v>
      </c>
      <c r="AG35" s="54" t="e">
        <f ca="1">_xll.BDP($D$4,$C35,AG$6,$G$4)</f>
        <v>#NAME?</v>
      </c>
      <c r="AH35" s="54" t="e">
        <f ca="1">_xll.BDP($D$4,$C35,AH$6,$G$4)</f>
        <v>#NAME?</v>
      </c>
      <c r="AI35" s="54" t="e">
        <f ca="1">_xll.BDP($D$4,$C35,AI$6,$G$4)</f>
        <v>#NAME?</v>
      </c>
      <c r="AJ35" s="54" t="e">
        <f ca="1">_xll.BDP($D$4,$C35,AJ$6,$G$4)</f>
        <v>#NAME?</v>
      </c>
      <c r="AK35" s="10"/>
      <c r="AL35" s="10"/>
      <c r="AM35" s="3"/>
      <c r="AN35" s="3"/>
    </row>
    <row r="36" spans="2:40" ht="18" customHeight="1" x14ac:dyDescent="0.3">
      <c r="B36" s="6" t="s">
        <v>37</v>
      </c>
      <c r="C36" s="6" t="s">
        <v>26</v>
      </c>
      <c r="D36" s="22" t="s">
        <v>28</v>
      </c>
      <c r="E36" s="26" t="e">
        <f ca="1">_xll.BDH($D$4,$B36,E$6,E$6,"Period=FQ","BEST_FPERIOD_OVERRIDE=FQ","FILING_STATUS=MR","SCALING_FORMAT=MLN","FA_ADJUSTED=Adjusted","Sort=A","Dates=H","DateFormat=P","Fill=—","Direction=H","UseDPDF=Y",$G$4)</f>
        <v>#NAME?</v>
      </c>
      <c r="F36" s="26" t="e">
        <f ca="1">_xll.BDH($D$4,$B36,F$6,F$6,"Period=FQ","BEST_FPERIOD_OVERRIDE=FQ","FILING_STATUS=MR","SCALING_FORMAT=MLN","FA_ADJUSTED=Adjusted","Sort=A","Dates=H","DateFormat=P","Fill=—","Direction=H","UseDPDF=Y",$G$4)</f>
        <v>#NAME?</v>
      </c>
      <c r="G36" s="26" t="e">
        <f ca="1">_xll.BDH($D$4,$B36,G$6,G$6,"Period=FQ","BEST_FPERIOD_OVERRIDE=FQ","FILING_STATUS=MR","SCALING_FORMAT=MLN","FA_ADJUSTED=Adjusted","Sort=A","Dates=H","DateFormat=P","Fill=—","Direction=H","UseDPDF=Y",$G$4)</f>
        <v>#NAME?</v>
      </c>
      <c r="H36" s="26" t="e">
        <f ca="1">_xll.BDH($D$4,$B36,H$6,H$6,"Period=FQ","BEST_FPERIOD_OVERRIDE=FQ","FILING_STATUS=MR","SCALING_FORMAT=MLN","FA_ADJUSTED=Adjusted","Sort=A","Dates=H","DateFormat=P","Fill=—","Direction=H","UseDPDF=Y",$G$4)</f>
        <v>#NAME?</v>
      </c>
      <c r="I36" s="26" t="e">
        <f ca="1">_xll.BDH($D$4,$B36,I$6,I$6,"Period=FQ","BEST_FPERIOD_OVERRIDE=FQ","FILING_STATUS=MR","SCALING_FORMAT=MLN","FA_ADJUSTED=Adjusted","Sort=A","Dates=H","DateFormat=P","Fill=—","Direction=H","UseDPDF=Y",$G$4)</f>
        <v>#NAME?</v>
      </c>
      <c r="J36" s="26" t="e">
        <f ca="1">_xll.BDH($D$4,$B36,J$6,J$6,"Period=FQ","BEST_FPERIOD_OVERRIDE=FQ","FILING_STATUS=MR","SCALING_FORMAT=MLN","FA_ADJUSTED=Adjusted","Sort=A","Dates=H","DateFormat=P","Fill=—","Direction=H","UseDPDF=Y",$G$4)</f>
        <v>#NAME?</v>
      </c>
      <c r="K36" s="26" t="e">
        <f ca="1">_xll.BDH($D$4,$B36,K$6,K$6,"Period=FQ","BEST_FPERIOD_OVERRIDE=FQ","FILING_STATUS=MR","SCALING_FORMAT=MLN","FA_ADJUSTED=Adjusted","Sort=A","Dates=H","DateFormat=P","Fill=—","Direction=H","UseDPDF=Y",$G$4)</f>
        <v>#NAME?</v>
      </c>
      <c r="L36" s="26" t="e">
        <f ca="1">_xll.BDH($D$4,$B36,L$6,L$6,"Period=FQ","BEST_FPERIOD_OVERRIDE=FQ","FILING_STATUS=MR","SCALING_FORMAT=MLN","FA_ADJUSTED=Adjusted","Sort=A","Dates=H","DateFormat=P","Fill=—","Direction=H","UseDPDF=Y",$G$4)</f>
        <v>#NAME?</v>
      </c>
      <c r="M36" s="26" t="e">
        <f ca="1">_xll.BDH($D$4,$B36,M$6,M$6,"Period=FQ","BEST_FPERIOD_OVERRIDE=FQ","FILING_STATUS=MR","SCALING_FORMAT=MLN","FA_ADJUSTED=Adjusted","Sort=A","Dates=H","DateFormat=P","Fill=—","Direction=H","UseDPDF=Y",$G$4)</f>
        <v>#NAME?</v>
      </c>
      <c r="N36" s="26" t="e">
        <f ca="1">_xll.BDH($D$4,$B36,N$6,N$6,"Period=FQ","BEST_FPERIOD_OVERRIDE=FQ","FILING_STATUS=MR","SCALING_FORMAT=MLN","FA_ADJUSTED=Adjusted","Sort=A","Dates=H","DateFormat=P","Fill=—","Direction=H","UseDPDF=Y",$G$4)</f>
        <v>#NAME?</v>
      </c>
      <c r="O36" s="26" t="e">
        <f ca="1">_xll.BDH($D$4,$B36,O$6,O$6,"Period=FQ","BEST_FPERIOD_OVERRIDE=FQ","FILING_STATUS=MR","SCALING_FORMAT=MLN","FA_ADJUSTED=Adjusted","Sort=A","Dates=H","DateFormat=P","Fill=—","Direction=H","UseDPDF=Y",$G$4)</f>
        <v>#NAME?</v>
      </c>
      <c r="P36" s="26" t="e">
        <f ca="1">_xll.BDH($D$4,$B36,P$6,P$6,"Period=FQ","BEST_FPERIOD_OVERRIDE=FQ","FILING_STATUS=MR","SCALING_FORMAT=MLN","FA_ADJUSTED=Adjusted","Sort=A","Dates=H","DateFormat=P","Fill=—","Direction=H","UseDPDF=Y",$G$4)</f>
        <v>#NAME?</v>
      </c>
      <c r="Q36" s="26" t="e">
        <f ca="1">_xll.BDH($D$4,$B36,Q$6,Q$6,"Period=FQ","BEST_FPERIOD_OVERRIDE=FQ","FILING_STATUS=MR","SCALING_FORMAT=MLN","FA_ADJUSTED=Adjusted","Sort=A","Dates=H","DateFormat=P","Fill=—","Direction=H","UseDPDF=Y",$G$4)</f>
        <v>#NAME?</v>
      </c>
      <c r="R36" s="26" t="e">
        <f ca="1">_xll.BDH($D$4,$B36,R$6,R$6,"Period=FQ","BEST_FPERIOD_OVERRIDE=FQ","FILING_STATUS=MR","SCALING_FORMAT=MLN","FA_ADJUSTED=Adjusted","Sort=A","Dates=H","DateFormat=P","Fill=—","Direction=H","UseDPDF=Y",$G$4)</f>
        <v>#NAME?</v>
      </c>
      <c r="S36" s="26" t="e">
        <f ca="1">_xll.BDH($D$4,$B36,S$6,S$6,"Period=FQ","BEST_FPERIOD_OVERRIDE=FQ","FILING_STATUS=MR","SCALING_FORMAT=MLN","FA_ADJUSTED=Adjusted","Sort=A","Dates=H","DateFormat=P","Fill=—","Direction=H","UseDPDF=Y",$G$4)</f>
        <v>#NAME?</v>
      </c>
      <c r="T36" s="26" t="e">
        <f ca="1">_xll.BDH($D$4,$B36,T$6,T$6,"Period=FQ","BEST_FPERIOD_OVERRIDE=FQ","FILING_STATUS=MR","SCALING_FORMAT=MLN","FA_ADJUSTED=Adjusted","Sort=A","Dates=H","DateFormat=P","Fill=—","Direction=H","UseDPDF=Y",$G$4)</f>
        <v>#NAME?</v>
      </c>
      <c r="U36" s="26" t="e">
        <f ca="1">_xll.BDH($D$4,$B36,U$6,U$6,"Period=FQ","BEST_FPERIOD_OVERRIDE=FQ","FILING_STATUS=MR","SCALING_FORMAT=MLN","FA_ADJUSTED=Adjusted","Sort=A","Dates=H","DateFormat=P","Fill=—","Direction=H","UseDPDF=Y",$G$4)</f>
        <v>#NAME?</v>
      </c>
      <c r="V36" s="26" t="e">
        <f ca="1">_xll.BDH($D$4,$B36,V$6,V$6,"Period=FQ","BEST_FPERIOD_OVERRIDE=FQ","FILING_STATUS=MR","SCALING_FORMAT=MLN","FA_ADJUSTED=Adjusted","Sort=A","Dates=H","DateFormat=P","Fill=—","Direction=H","UseDPDF=Y",$G$4)</f>
        <v>#NAME?</v>
      </c>
      <c r="W36" s="26" t="e">
        <f ca="1">_xll.BDH($D$4,$B36,W$6,W$6,"Period=FQ","BEST_FPERIOD_OVERRIDE=FQ","FILING_STATUS=MR","SCALING_FORMAT=MLN","FA_ADJUSTED=Adjusted","Sort=A","Dates=H","DateFormat=P","Fill=—","Direction=H","UseDPDF=Y",$G$4)</f>
        <v>#NAME?</v>
      </c>
      <c r="X36" s="26" t="e">
        <f ca="1">_xll.BDH($D$4,$B36,X$6,X$6,"Period=FQ","BEST_FPERIOD_OVERRIDE=FQ","FILING_STATUS=MR","SCALING_FORMAT=MLN","FA_ADJUSTED=Adjusted","Sort=A","Dates=H","DateFormat=P","Fill=—","Direction=H","UseDPDF=Y",$G$4)</f>
        <v>#NAME?</v>
      </c>
      <c r="Y36" s="26" t="e">
        <f ca="1">_xll.BDH($D$4,$B36,Y$6,Y$6,"Period=FQ","BEST_FPERIOD_OVERRIDE=FQ","FILING_STATUS=MR","SCALING_FORMAT=MLN","FA_ADJUSTED=Adjusted","Sort=A","Dates=H","DateFormat=P","Fill=—","Direction=H","UseDPDF=Y",$G$4)</f>
        <v>#NAME?</v>
      </c>
      <c r="Z36" s="26" t="e">
        <f ca="1">_xll.BDH($D$4,$B36,Z$6,Z$6,"Period=FQ","BEST_FPERIOD_OVERRIDE=FQ","FILING_STATUS=MR","SCALING_FORMAT=MLN","FA_ADJUSTED=Adjusted","Sort=A","Dates=H","DateFormat=P","Fill=—","Direction=H","UseDPDF=Y",$G$4)</f>
        <v>#NAME?</v>
      </c>
      <c r="AA36" s="26" t="e">
        <f ca="1">_xll.BDH($D$4,$B36,AA$6,AA$6,"Period=FQ","BEST_FPERIOD_OVERRIDE=FQ","FILING_STATUS=MR","SCALING_FORMAT=MLN","FA_ADJUSTED=Adjusted","Sort=A","Dates=H","DateFormat=P","Fill=—","Direction=H","UseDPDF=Y",$G$4)</f>
        <v>#NAME?</v>
      </c>
      <c r="AB36" s="27" t="e">
        <f ca="1">_xll.BDH($D$4,$B36,AB$6,AB$6,"Period=FQ","BEST_FPERIOD_OVERRIDE=FQ","FILING_STATUS=MR","SCALING_FORMAT=MLN","FA_ADJUSTED=Adjusted","Sort=A","Dates=H","DateFormat=P","Fill=—","Direction=H","UseDPDF=Y",$G$4)</f>
        <v>#NAME?</v>
      </c>
      <c r="AC36" s="28" t="e">
        <f ca="1">_xll.BDH($D$4,$B36,AC$6,AC$6,"Period=FQ","BEST_FPERIOD_OVERRIDE=FQ","FILING_STATUS=MR","SCALING_FORMAT=MLN","FA_ADJUSTED=Adjusted","Sort=A","Dates=H","DateFormat=P","Fill=—","Direction=H","UseDPDF=Y",$G$4)</f>
        <v>#NAME?</v>
      </c>
      <c r="AD36" s="55" t="e">
        <f ca="1">_xll.BDP($D$4,$C36,AD$6,$G$4)</f>
        <v>#NAME?</v>
      </c>
      <c r="AE36" s="29" t="e">
        <f ca="1">_xll.BDP($D$4,$C36,AE$6,$G$4)</f>
        <v>#NAME?</v>
      </c>
      <c r="AF36" s="29" t="e">
        <f ca="1">_xll.BDP($D$4,$C36,AF$6,$G$4)</f>
        <v>#NAME?</v>
      </c>
      <c r="AG36" s="29" t="e">
        <f ca="1">_xll.BDP($D$4,$C36,AG$6,$G$4)</f>
        <v>#NAME?</v>
      </c>
      <c r="AH36" s="29" t="e">
        <f ca="1">_xll.BDP($D$4,$C36,AH$6,$G$4)</f>
        <v>#NAME?</v>
      </c>
      <c r="AI36" s="29" t="e">
        <f ca="1">_xll.BDP($D$4,$C36,AI$6,$G$4)</f>
        <v>#NAME?</v>
      </c>
      <c r="AJ36" s="29" t="e">
        <f ca="1">_xll.BDP($D$4,$C36,AJ$6,$G$4)</f>
        <v>#NAME?</v>
      </c>
      <c r="AM36" s="3"/>
      <c r="AN36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그래프</vt:lpstr>
      <vt:lpstr>값복사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PC-2228</dc:creator>
  <cp:lastModifiedBy>PC-2228</cp:lastModifiedBy>
  <dcterms:created xsi:type="dcterms:W3CDTF">2025-02-19T08:27:10Z</dcterms:created>
  <dcterms:modified xsi:type="dcterms:W3CDTF">2026-05-14T06:42:34Z</dcterms:modified>
</cp:coreProperties>
</file>