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개인공부\4. 데이터따기\"/>
    </mc:Choice>
  </mc:AlternateContent>
  <bookViews>
    <workbookView xWindow="0" yWindow="0" windowWidth="28800" windowHeight="12405"/>
  </bookViews>
  <sheets>
    <sheet name="그래프" sheetId="18" r:id="rId1"/>
    <sheet name="값복사" sheetId="15" r:id="rId2"/>
    <sheet name="RAW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7" l="1"/>
  <c r="M33" i="7"/>
  <c r="S31" i="7"/>
  <c r="K19" i="7"/>
  <c r="P20" i="7"/>
  <c r="L32" i="7"/>
  <c r="H15" i="7"/>
  <c r="I20" i="7"/>
  <c r="J13" i="7"/>
  <c r="G4" i="7"/>
  <c r="Q10" i="7"/>
  <c r="M32" i="7"/>
  <c r="R14" i="7"/>
  <c r="K10" i="7"/>
  <c r="P15" i="7"/>
  <c r="L13" i="7"/>
  <c r="H31" i="7"/>
  <c r="I30" i="7"/>
  <c r="J10" i="7"/>
  <c r="R10" i="7"/>
  <c r="O13" i="7"/>
  <c r="G29" i="7"/>
  <c r="Q19" i="7"/>
  <c r="J31" i="7"/>
  <c r="S33" i="7"/>
  <c r="H20" i="7"/>
  <c r="M10" i="7"/>
  <c r="O30" i="7"/>
  <c r="M19" i="7"/>
  <c r="O33" i="7"/>
  <c r="N31" i="7"/>
  <c r="S29" i="7"/>
  <c r="H29" i="7"/>
  <c r="G33" i="7"/>
  <c r="M31" i="7"/>
  <c r="P33" i="7"/>
  <c r="N32" i="7"/>
  <c r="S14" i="7"/>
  <c r="P19" i="7"/>
  <c r="H32" i="7"/>
  <c r="Q30" i="7"/>
  <c r="M17" i="7"/>
  <c r="R33" i="7"/>
  <c r="K33" i="7"/>
  <c r="O19" i="7"/>
  <c r="L20" i="7"/>
  <c r="H19" i="7"/>
  <c r="I10" i="7"/>
  <c r="J33" i="7"/>
  <c r="Q14" i="7"/>
  <c r="M29" i="7"/>
  <c r="R29" i="7"/>
  <c r="K17" i="7"/>
  <c r="O17" i="7"/>
  <c r="L10" i="7"/>
  <c r="G20" i="7"/>
  <c r="I32" i="7"/>
  <c r="J30" i="7"/>
  <c r="P17" i="7"/>
  <c r="I19" i="7"/>
  <c r="P10" i="7"/>
  <c r="G13" i="7"/>
  <c r="P30" i="7"/>
  <c r="J32" i="7"/>
  <c r="P32" i="7"/>
  <c r="J17" i="7"/>
  <c r="P29" i="7"/>
  <c r="J19" i="7"/>
  <c r="K13" i="7"/>
  <c r="J29" i="7"/>
  <c r="K30" i="7"/>
  <c r="L29" i="7"/>
  <c r="I31" i="7"/>
  <c r="Q20" i="7"/>
  <c r="M20" i="7"/>
  <c r="R17" i="7"/>
  <c r="K32" i="7"/>
  <c r="O10" i="7"/>
  <c r="L31" i="7"/>
  <c r="G30" i="7"/>
  <c r="I33" i="7"/>
  <c r="N20" i="7"/>
  <c r="Q32" i="7"/>
  <c r="M13" i="7"/>
  <c r="R32" i="7"/>
  <c r="K15" i="7"/>
  <c r="O20" i="7"/>
  <c r="L30" i="7"/>
  <c r="G17" i="7"/>
  <c r="I29" i="7"/>
  <c r="N30" i="7"/>
  <c r="S15" i="7"/>
  <c r="H33" i="7"/>
  <c r="S10" i="7"/>
  <c r="O32" i="7"/>
  <c r="N13" i="7"/>
  <c r="Q17" i="7"/>
  <c r="O15" i="7"/>
  <c r="N15" i="7"/>
  <c r="R20" i="7"/>
  <c r="H30" i="7"/>
  <c r="N33" i="7"/>
  <c r="S19" i="7"/>
  <c r="H17" i="7"/>
  <c r="M15" i="7"/>
  <c r="P13" i="7"/>
  <c r="I13" i="7"/>
  <c r="J20" i="7"/>
  <c r="M30" i="7"/>
  <c r="K20" i="7"/>
  <c r="L33" i="7"/>
  <c r="J15" i="7"/>
  <c r="Q33" i="7"/>
  <c r="S30" i="7"/>
  <c r="R31" i="7"/>
  <c r="K29" i="7"/>
  <c r="O29" i="7"/>
  <c r="L15" i="7"/>
  <c r="G31" i="7"/>
  <c r="I15" i="7"/>
  <c r="N29" i="7"/>
  <c r="Q31" i="7"/>
  <c r="S32" i="7"/>
  <c r="R30" i="7"/>
  <c r="P31" i="7"/>
  <c r="O31" i="7"/>
  <c r="L19" i="7"/>
  <c r="G32" i="7"/>
  <c r="I17" i="7"/>
  <c r="N10" i="7"/>
  <c r="Q29" i="7"/>
  <c r="N19" i="7"/>
  <c r="R19" i="7"/>
  <c r="H10" i="7"/>
  <c r="R15" i="7"/>
  <c r="G15" i="7"/>
  <c r="S17" i="7"/>
  <c r="G10" i="7"/>
  <c r="K31" i="7"/>
  <c r="G19" i="7"/>
  <c r="L17" i="7"/>
  <c r="N17" i="7"/>
  <c r="S20" i="7"/>
  <c r="H13" i="7"/>
  <c r="H4" i="7"/>
  <c r="H24" i="7" l="1"/>
  <c r="H14" i="7"/>
  <c r="S27" i="7"/>
  <c r="S21" i="7"/>
  <c r="N18" i="7"/>
  <c r="N26" i="7"/>
  <c r="L18" i="7"/>
  <c r="L26" i="7"/>
  <c r="G11" i="7"/>
  <c r="G12" i="7" s="1"/>
  <c r="S26" i="7"/>
  <c r="S18" i="7"/>
  <c r="G16" i="7"/>
  <c r="R25" i="7"/>
  <c r="R16" i="7"/>
  <c r="H23" i="7"/>
  <c r="H11" i="7"/>
  <c r="H12" i="7" s="1"/>
  <c r="N11" i="7"/>
  <c r="N12" i="7" s="1"/>
  <c r="N23" i="7"/>
  <c r="I26" i="7"/>
  <c r="I18" i="7"/>
  <c r="I16" i="7"/>
  <c r="I25" i="7"/>
  <c r="L16" i="7"/>
  <c r="L25" i="7"/>
  <c r="J16" i="7"/>
  <c r="J25" i="7"/>
  <c r="K21" i="7"/>
  <c r="K27" i="7"/>
  <c r="J27" i="7"/>
  <c r="J21" i="7"/>
  <c r="I14" i="7"/>
  <c r="I24" i="7"/>
  <c r="P14" i="7"/>
  <c r="P24" i="7"/>
  <c r="M16" i="7"/>
  <c r="M25" i="7"/>
  <c r="H26" i="7"/>
  <c r="H18" i="7"/>
  <c r="R27" i="7"/>
  <c r="R21" i="7"/>
  <c r="N16" i="7"/>
  <c r="N25" i="7"/>
  <c r="O16" i="7"/>
  <c r="O25" i="7"/>
  <c r="Q26" i="7"/>
  <c r="Q18" i="7"/>
  <c r="N14" i="7"/>
  <c r="N24" i="7"/>
  <c r="S13" i="7"/>
  <c r="S23" i="7"/>
  <c r="S25" i="7"/>
  <c r="S16" i="7"/>
  <c r="G18" i="7"/>
  <c r="O21" i="7"/>
  <c r="O27" i="7"/>
  <c r="K16" i="7"/>
  <c r="K25" i="7"/>
  <c r="M14" i="7"/>
  <c r="M24" i="7"/>
  <c r="N21" i="7"/>
  <c r="N27" i="7"/>
  <c r="O11" i="7"/>
  <c r="O12" i="7" s="1"/>
  <c r="O23" i="7"/>
  <c r="R26" i="7"/>
  <c r="R18" i="7"/>
  <c r="M21" i="7"/>
  <c r="M27" i="7"/>
  <c r="Q27" i="7"/>
  <c r="Q21" i="7"/>
  <c r="K14" i="7"/>
  <c r="K24" i="7"/>
  <c r="J26" i="7"/>
  <c r="J18" i="7"/>
  <c r="G14" i="7"/>
  <c r="P11" i="7"/>
  <c r="P12" i="7" s="1"/>
  <c r="P23" i="7"/>
  <c r="P18" i="7"/>
  <c r="P26" i="7"/>
  <c r="G21" i="7"/>
  <c r="L11" i="7"/>
  <c r="L12" i="7" s="1"/>
  <c r="L23" i="7"/>
  <c r="O18" i="7"/>
  <c r="O26" i="7"/>
  <c r="K18" i="7"/>
  <c r="K26" i="7"/>
  <c r="I23" i="7"/>
  <c r="I11" i="7"/>
  <c r="I12" i="7" s="1"/>
  <c r="L21" i="7"/>
  <c r="L27" i="7"/>
  <c r="M18" i="7"/>
  <c r="M26" i="7"/>
  <c r="M11" i="7"/>
  <c r="M12" i="7" s="1"/>
  <c r="M23" i="7"/>
  <c r="H27" i="7"/>
  <c r="H21" i="7"/>
  <c r="O14" i="7"/>
  <c r="O24" i="7"/>
  <c r="R23" i="7"/>
  <c r="R13" i="7"/>
  <c r="R11" i="7" s="1"/>
  <c r="R12" i="7" s="1"/>
  <c r="J11" i="7"/>
  <c r="J12" i="7" s="1"/>
  <c r="J23" i="7"/>
  <c r="L14" i="7"/>
  <c r="L24" i="7"/>
  <c r="P16" i="7"/>
  <c r="P25" i="7"/>
  <c r="K11" i="7"/>
  <c r="K12" i="7" s="1"/>
  <c r="K23" i="7"/>
  <c r="Q23" i="7"/>
  <c r="Q13" i="7"/>
  <c r="Q24" i="7" s="1"/>
  <c r="J24" i="7"/>
  <c r="J14" i="7"/>
  <c r="I21" i="7"/>
  <c r="I27" i="7"/>
  <c r="H25" i="7"/>
  <c r="H16" i="7"/>
  <c r="P21" i="7"/>
  <c r="P27" i="7"/>
  <c r="Q25" i="7"/>
  <c r="Q16" i="7"/>
  <c r="Q11" i="7" l="1"/>
  <c r="Q12" i="7" s="1"/>
  <c r="R24" i="7"/>
  <c r="S11" i="7"/>
  <c r="S12" i="7" s="1"/>
  <c r="S24" i="7"/>
</calcChain>
</file>

<file path=xl/sharedStrings.xml><?xml version="1.0" encoding="utf-8"?>
<sst xmlns="http://schemas.openxmlformats.org/spreadsheetml/2006/main" count="164" uniqueCount="123">
  <si>
    <t>(십억원, %)</t>
  </si>
  <si>
    <t>매출액</t>
  </si>
  <si>
    <t>2026E</t>
    <phoneticPr fontId="2" type="noConversion"/>
  </si>
  <si>
    <t>2027E</t>
    <phoneticPr fontId="2" type="noConversion"/>
  </si>
  <si>
    <t>OPM(%)</t>
    <phoneticPr fontId="2" type="noConversion"/>
  </si>
  <si>
    <t>순이익</t>
    <phoneticPr fontId="2" type="noConversion"/>
  </si>
  <si>
    <t>순이익률(%)</t>
    <phoneticPr fontId="2" type="noConversion"/>
  </si>
  <si>
    <t>SALES_REV_TURN</t>
  </si>
  <si>
    <t>IS_OPER_INC</t>
  </si>
  <si>
    <t>NET_INCOME</t>
  </si>
  <si>
    <t>BEST_SALES</t>
    <phoneticPr fontId="2" type="noConversion"/>
  </si>
  <si>
    <t>BEST_FPERIOD_OVERRIDE=1FY</t>
    <phoneticPr fontId="2" type="noConversion"/>
  </si>
  <si>
    <t>BEST_FPERIOD_OVERRIDE=2FY</t>
    <phoneticPr fontId="2" type="noConversion"/>
  </si>
  <si>
    <t>BEST_FPERIOD_OVERRIDE=3FY</t>
    <phoneticPr fontId="2" type="noConversion"/>
  </si>
  <si>
    <t>BEST_OPP</t>
    <phoneticPr fontId="2" type="noConversion"/>
  </si>
  <si>
    <t>EQY FUND YEAR</t>
    <phoneticPr fontId="2" type="noConversion"/>
  </si>
  <si>
    <t>BEST_NET_INCOME</t>
    <phoneticPr fontId="2" type="noConversion"/>
  </si>
  <si>
    <t>(yoy)</t>
    <phoneticPr fontId="2" type="noConversion"/>
  </si>
  <si>
    <t>매출액</t>
    <phoneticPr fontId="2" type="noConversion"/>
  </si>
  <si>
    <t>영업이익</t>
    <phoneticPr fontId="2" type="noConversion"/>
  </si>
  <si>
    <t>Currency=USD</t>
    <phoneticPr fontId="2" type="noConversion"/>
  </si>
  <si>
    <t>GROSS_PROFIT</t>
    <phoneticPr fontId="2" type="noConversion"/>
  </si>
  <si>
    <t>BEST_GROSS_MARGIN</t>
    <phoneticPr fontId="2" type="noConversion"/>
  </si>
  <si>
    <t>매출총이익률</t>
    <phoneticPr fontId="2" type="noConversion"/>
  </si>
  <si>
    <t>매출총이익</t>
    <phoneticPr fontId="2" type="noConversion"/>
  </si>
  <si>
    <t>매출원가</t>
    <phoneticPr fontId="2" type="noConversion"/>
  </si>
  <si>
    <t>매출원가율</t>
    <phoneticPr fontId="2" type="noConversion"/>
  </si>
  <si>
    <t>EBITDA</t>
    <phoneticPr fontId="2" type="noConversion"/>
  </si>
  <si>
    <t>EBITDA Margin</t>
    <phoneticPr fontId="2" type="noConversion"/>
  </si>
  <si>
    <t>2028E</t>
    <phoneticPr fontId="2" type="noConversion"/>
  </si>
  <si>
    <t>BEST_EBITDA</t>
    <phoneticPr fontId="2" type="noConversion"/>
  </si>
  <si>
    <t>밸류</t>
    <phoneticPr fontId="2" type="noConversion"/>
  </si>
  <si>
    <t>BEST_EPS</t>
    <phoneticPr fontId="2" type="noConversion"/>
  </si>
  <si>
    <t>BEST_BPS</t>
    <phoneticPr fontId="2" type="noConversion"/>
  </si>
  <si>
    <t>EPS</t>
    <phoneticPr fontId="2" type="noConversion"/>
  </si>
  <si>
    <t>BPS</t>
    <phoneticPr fontId="2" type="noConversion"/>
  </si>
  <si>
    <t>IS_DIL_EPS_CONT_OPS</t>
  </si>
  <si>
    <t>현재주가</t>
    <phoneticPr fontId="2" type="noConversion"/>
  </si>
  <si>
    <t>PX_LAST</t>
    <phoneticPr fontId="2" type="noConversion"/>
  </si>
  <si>
    <t>기업티커</t>
    <phoneticPr fontId="2" type="noConversion"/>
  </si>
  <si>
    <t>RETURN_COM_EQY</t>
  </si>
  <si>
    <t>BEST_ROE</t>
  </si>
  <si>
    <t>ROE</t>
    <phoneticPr fontId="2" type="noConversion"/>
  </si>
  <si>
    <t>통화</t>
    <phoneticPr fontId="2" type="noConversion"/>
  </si>
  <si>
    <t>BOOK_VAL_PER_SH</t>
    <phoneticPr fontId="2" type="noConversion"/>
  </si>
  <si>
    <t>PER</t>
    <phoneticPr fontId="2" type="noConversion"/>
  </si>
  <si>
    <t>PE_RATIO</t>
    <phoneticPr fontId="2" type="noConversion"/>
  </si>
  <si>
    <t>PBR</t>
    <phoneticPr fontId="2" type="noConversion"/>
  </si>
  <si>
    <t>PX_TO_BOOK_RATIO</t>
  </si>
  <si>
    <t xml:space="preserve">* 실적 관련 데이터 </t>
    <phoneticPr fontId="2" type="noConversion"/>
  </si>
  <si>
    <t>* 매출액</t>
    <phoneticPr fontId="2" type="noConversion"/>
  </si>
  <si>
    <t>* 영업이익</t>
    <phoneticPr fontId="2" type="noConversion"/>
  </si>
  <si>
    <t>* EPS &amp; PER</t>
    <phoneticPr fontId="2" type="noConversion"/>
  </si>
  <si>
    <t>* BPS &amp; PBR</t>
    <phoneticPr fontId="2" type="noConversion"/>
  </si>
  <si>
    <t>BEST_PE_RATIO</t>
    <phoneticPr fontId="2" type="noConversion"/>
  </si>
  <si>
    <t>BEST_PX_BPS_RATIO</t>
    <phoneticPr fontId="2" type="noConversion"/>
  </si>
  <si>
    <t>EV/EBITDA</t>
    <phoneticPr fontId="2" type="noConversion"/>
  </si>
  <si>
    <t>BEST_CUR_EV_TO_EBITDA</t>
    <phoneticPr fontId="2" type="noConversion"/>
  </si>
  <si>
    <t>EV_EBITDA_ADJUSTED</t>
  </si>
  <si>
    <t>기업이름</t>
    <phoneticPr fontId="2" type="noConversion"/>
  </si>
  <si>
    <t>NAME</t>
    <phoneticPr fontId="2" type="noConversion"/>
  </si>
  <si>
    <t>FY 2016</t>
    <phoneticPr fontId="2" type="noConversion"/>
  </si>
  <si>
    <t>FY 2017</t>
    <phoneticPr fontId="2" type="noConversion"/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</si>
  <si>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</si>
  <si>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</si>
  <si>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</si>
  <si>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</si>
  <si>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</si>
  <si>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</si>
  <si>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</si>
  <si>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</si>
  <si>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NVDA US Equity</t>
  </si>
  <si>
    <t>NVDA US Equity</t>
    <phoneticPr fontId="2" type="noConversion"/>
  </si>
  <si>
    <t>기업티커</t>
  </si>
  <si>
    <t>기업이름</t>
  </si>
  <si>
    <t>현재주가</t>
  </si>
  <si>
    <t>통화</t>
  </si>
  <si>
    <t>PX_LAST</t>
  </si>
  <si>
    <t>NAME</t>
  </si>
  <si>
    <t>NVIDIA CORP</t>
  </si>
  <si>
    <t>Currency=USD</t>
  </si>
  <si>
    <t>BEST_FPERIOD_OVERRIDE=1FY</t>
  </si>
  <si>
    <t>BEST_FPERIOD_OVERRIDE=2FY</t>
  </si>
  <si>
    <t>BEST_FPERIOD_OVERRIDE=3FY</t>
  </si>
  <si>
    <t>EQY FUND YEAR</t>
  </si>
  <si>
    <t>FY 2016</t>
  </si>
  <si>
    <t>FY 2017</t>
  </si>
  <si>
    <t>2026E</t>
  </si>
  <si>
    <t>2027E</t>
  </si>
  <si>
    <t>2028E</t>
  </si>
  <si>
    <t>BEST_SALES</t>
  </si>
  <si>
    <t>매출원가</t>
  </si>
  <si>
    <t>매출원가율</t>
  </si>
  <si>
    <t>GROSS_PROFIT</t>
  </si>
  <si>
    <t>매출총이익</t>
  </si>
  <si>
    <t>BEST_GROSS_MARGIN</t>
  </si>
  <si>
    <t>매출총이익률</t>
  </si>
  <si>
    <t>BEST_OPP</t>
  </si>
  <si>
    <t>영업이익</t>
  </si>
  <si>
    <t>OPM(%)</t>
  </si>
  <si>
    <t>EBITDA</t>
  </si>
  <si>
    <t>BEST_EBITDA</t>
  </si>
  <si>
    <t>EBITDA Margin</t>
  </si>
  <si>
    <t>ROE</t>
  </si>
  <si>
    <t>BEST_NET_INCOME</t>
  </si>
  <si>
    <t>순이익</t>
  </si>
  <si>
    <t>순이익률(%)</t>
  </si>
  <si>
    <t>(yoy)</t>
  </si>
  <si>
    <t>밸류</t>
  </si>
  <si>
    <t>BEST_EPS</t>
  </si>
  <si>
    <t>EPS</t>
  </si>
  <si>
    <t>BOOK_VAL_PER_SH</t>
  </si>
  <si>
    <t>BEST_BPS</t>
  </si>
  <si>
    <t>BPS</t>
  </si>
  <si>
    <t>PE_RATIO</t>
  </si>
  <si>
    <t>BEST_PE_RATIO</t>
  </si>
  <si>
    <t>PER</t>
  </si>
  <si>
    <t>BEST_PX_BPS_RATIO</t>
  </si>
  <si>
    <t>PBR</t>
  </si>
  <si>
    <t>BEST_CUR_EV_TO_EBITDA</t>
  </si>
  <si>
    <t>EV/EBITDA</t>
  </si>
  <si>
    <t>* PER</t>
    <phoneticPr fontId="2" type="noConversion"/>
  </si>
  <si>
    <t>* PBR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</si>
</sst>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0.0"/>
    <numFmt numFmtId="177" formatCode="#,##0_ "/>
    <numFmt numFmtId="178" formatCode="#,##0.0_ "/>
    <numFmt numFmtId="179" formatCode="0.0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나눔스퀘어_ac"/>
      <family val="2"/>
      <charset val="129"/>
    </font>
    <font>
      <b/>
      <sz val="10"/>
      <color indexed="9"/>
      <name val="Arial"/>
      <family val="2"/>
    </font>
    <font>
      <b/>
      <sz val="11"/>
      <color theme="1"/>
      <name val="나눔스퀘어_ac"/>
      <family val="3"/>
      <charset val="129"/>
    </font>
    <font>
      <sz val="11"/>
      <color theme="1"/>
      <name val="나눔스퀘어_ac"/>
      <family val="3"/>
      <charset val="129"/>
    </font>
    <font>
      <sz val="10"/>
      <name val="나눔스퀘어_ac"/>
      <family val="3"/>
      <charset val="129"/>
    </font>
    <font>
      <b/>
      <sz val="10"/>
      <name val="나눔스퀘어_a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1EBFF"/>
        <bgColor indexed="64"/>
      </patternFill>
    </fill>
    <fill>
      <patternFill patternType="solid">
        <fgColor rgb="FF4F81BD"/>
        <bgColor indexed="64"/>
      </patternFill>
    </fill>
  </fills>
  <borders count="22">
    <border>
      <left/>
      <right/>
      <top/>
      <bottom/>
      <diagonal/>
    </border>
    <border>
      <left/>
      <right style="medium">
        <color rgb="FFA6A6A6"/>
      </right>
      <top style="thick">
        <color rgb="FFA6A6A6"/>
      </top>
      <bottom style="medium">
        <color rgb="FFA6A6A6"/>
      </bottom>
      <diagonal/>
    </border>
    <border>
      <left/>
      <right/>
      <top style="thick">
        <color rgb="FFA6A6A6"/>
      </top>
      <bottom/>
      <diagonal/>
    </border>
    <border>
      <left/>
      <right/>
      <top style="thick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/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rgb="FFA6A6A6"/>
      </right>
      <top/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A6A6A6"/>
      </top>
      <bottom style="thick">
        <color rgb="FFA6A6A6"/>
      </bottom>
      <diagonal/>
    </border>
    <border>
      <left/>
      <right style="medium">
        <color rgb="FFA6A6A6"/>
      </right>
      <top style="thick">
        <color rgb="FFA6A6A6"/>
      </top>
      <bottom style="thick">
        <color rgb="FFA6A6A6"/>
      </bottom>
      <diagonal/>
    </border>
    <border>
      <left style="medium">
        <color rgb="FFA6A6A6"/>
      </left>
      <right/>
      <top style="thick">
        <color rgb="FFA6A6A6"/>
      </top>
      <bottom/>
      <diagonal/>
    </border>
    <border>
      <left/>
      <right style="medium">
        <color rgb="FFA6A6A6"/>
      </right>
      <top style="thick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 style="thick">
        <color rgb="FFA6A6A6"/>
      </bottom>
      <diagonal/>
    </border>
    <border>
      <left style="medium">
        <color rgb="FFA6A6A6"/>
      </left>
      <right/>
      <top/>
      <bottom style="thick">
        <color rgb="FFA6A6A6"/>
      </bottom>
      <diagonal/>
    </border>
    <border>
      <left/>
      <right/>
      <top/>
      <bottom style="thick">
        <color rgb="FFA6A6A6"/>
      </bottom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4" borderId="11">
      <alignment horizontal="right"/>
    </xf>
    <xf numFmtId="9" fontId="1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Border="1">
      <alignment vertical="center"/>
    </xf>
    <xf numFmtId="0" fontId="7" fillId="0" borderId="0" xfId="0" applyFont="1" applyFill="1">
      <alignment vertical="center"/>
    </xf>
    <xf numFmtId="0" fontId="8" fillId="0" borderId="0" xfId="2" applyFont="1" applyFill="1" applyBorder="1" applyAlignment="1">
      <alignment horizontal="justify" vertical="center"/>
    </xf>
    <xf numFmtId="0" fontId="8" fillId="0" borderId="0" xfId="0" applyFont="1">
      <alignment vertical="center"/>
    </xf>
    <xf numFmtId="0" fontId="8" fillId="0" borderId="0" xfId="2" quotePrefix="1" applyFont="1" applyBorder="1" applyAlignment="1">
      <alignment horizontal="justify" vertical="center"/>
    </xf>
    <xf numFmtId="0" fontId="7" fillId="0" borderId="0" xfId="2" applyFont="1">
      <alignment vertical="center"/>
    </xf>
    <xf numFmtId="0" fontId="7" fillId="0" borderId="0" xfId="2" applyFont="1" applyBorder="1">
      <alignment vertical="center"/>
    </xf>
    <xf numFmtId="0" fontId="7" fillId="0" borderId="0" xfId="2" applyFont="1" applyFill="1">
      <alignment vertical="center"/>
    </xf>
    <xf numFmtId="14" fontId="7" fillId="0" borderId="0" xfId="2" applyNumberFormat="1" applyFont="1" applyFill="1">
      <alignment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right" vertical="center"/>
    </xf>
    <xf numFmtId="14" fontId="8" fillId="0" borderId="0" xfId="2" applyNumberFormat="1" applyFont="1" applyFill="1" applyBorder="1" applyAlignment="1">
      <alignment horizontal="right" vertical="center"/>
    </xf>
    <xf numFmtId="0" fontId="7" fillId="0" borderId="4" xfId="2" applyFont="1" applyBorder="1" applyAlignment="1">
      <alignment horizontal="left" vertical="center"/>
    </xf>
    <xf numFmtId="177" fontId="7" fillId="0" borderId="5" xfId="2" applyNumberFormat="1" applyFont="1" applyBorder="1" applyAlignment="1">
      <alignment horizontal="center" vertical="center"/>
    </xf>
    <xf numFmtId="177" fontId="7" fillId="0" borderId="5" xfId="2" applyNumberFormat="1" applyFont="1" applyFill="1" applyBorder="1" applyAlignment="1">
      <alignment horizontal="center" vertical="center"/>
    </xf>
    <xf numFmtId="177" fontId="7" fillId="0" borderId="4" xfId="2" applyNumberFormat="1" applyFont="1" applyFill="1" applyBorder="1" applyAlignment="1">
      <alignment horizontal="center" vertical="center"/>
    </xf>
    <xf numFmtId="177" fontId="7" fillId="3" borderId="5" xfId="2" applyNumberFormat="1" applyFont="1" applyFill="1" applyBorder="1" applyAlignment="1">
      <alignment horizontal="center" vertical="center"/>
    </xf>
    <xf numFmtId="3" fontId="7" fillId="0" borderId="0" xfId="2" applyNumberFormat="1" applyFont="1" applyFill="1" applyBorder="1" applyAlignment="1">
      <alignment horizontal="right" vertical="center"/>
    </xf>
    <xf numFmtId="179" fontId="7" fillId="0" borderId="0" xfId="4" applyNumberFormat="1" applyFont="1" applyFill="1" applyBorder="1" applyAlignment="1">
      <alignment horizontal="right" vertical="center"/>
    </xf>
    <xf numFmtId="0" fontId="7" fillId="0" borderId="6" xfId="2" applyFont="1" applyBorder="1" applyAlignment="1">
      <alignment horizontal="left" vertical="center"/>
    </xf>
    <xf numFmtId="177" fontId="7" fillId="0" borderId="0" xfId="2" applyNumberFormat="1" applyFont="1" applyBorder="1" applyAlignment="1">
      <alignment horizontal="center" vertical="center"/>
    </xf>
    <xf numFmtId="177" fontId="7" fillId="0" borderId="0" xfId="2" applyNumberFormat="1" applyFont="1" applyFill="1" applyBorder="1" applyAlignment="1">
      <alignment horizontal="center" vertical="center"/>
    </xf>
    <xf numFmtId="177" fontId="7" fillId="0" borderId="6" xfId="2" applyNumberFormat="1" applyFont="1" applyFill="1" applyBorder="1" applyAlignment="1">
      <alignment horizontal="center" vertical="center"/>
    </xf>
    <xf numFmtId="177" fontId="7" fillId="3" borderId="0" xfId="2" applyNumberFormat="1" applyFont="1" applyFill="1" applyBorder="1" applyAlignment="1">
      <alignment horizontal="center" vertical="center"/>
    </xf>
    <xf numFmtId="178" fontId="7" fillId="0" borderId="0" xfId="2" applyNumberFormat="1" applyFont="1" applyBorder="1" applyAlignment="1">
      <alignment horizontal="center" vertical="center"/>
    </xf>
    <xf numFmtId="178" fontId="7" fillId="0" borderId="0" xfId="2" applyNumberFormat="1" applyFont="1" applyFill="1" applyBorder="1" applyAlignment="1">
      <alignment horizontal="center" vertical="center"/>
    </xf>
    <xf numFmtId="178" fontId="7" fillId="0" borderId="6" xfId="2" applyNumberFormat="1" applyFont="1" applyFill="1" applyBorder="1" applyAlignment="1">
      <alignment horizontal="center" vertical="center"/>
    </xf>
    <xf numFmtId="178" fontId="7" fillId="3" borderId="0" xfId="2" applyNumberFormat="1" applyFont="1" applyFill="1" applyBorder="1" applyAlignment="1">
      <alignment horizontal="center" vertical="center"/>
    </xf>
    <xf numFmtId="177" fontId="7" fillId="0" borderId="0" xfId="1" applyNumberFormat="1" applyFont="1" applyBorder="1" applyAlignment="1">
      <alignment horizontal="center" vertical="center"/>
    </xf>
    <xf numFmtId="177" fontId="7" fillId="0" borderId="0" xfId="1" applyNumberFormat="1" applyFont="1" applyFill="1" applyBorder="1" applyAlignment="1">
      <alignment horizontal="center" vertical="center"/>
    </xf>
    <xf numFmtId="177" fontId="7" fillId="0" borderId="6" xfId="1" applyNumberFormat="1" applyFont="1" applyFill="1" applyBorder="1" applyAlignment="1">
      <alignment horizontal="center" vertical="center"/>
    </xf>
    <xf numFmtId="178" fontId="7" fillId="0" borderId="0" xfId="1" applyNumberFormat="1" applyFont="1" applyBorder="1" applyAlignment="1">
      <alignment horizontal="center" vertical="center"/>
    </xf>
    <xf numFmtId="178" fontId="7" fillId="0" borderId="0" xfId="1" applyNumberFormat="1" applyFont="1" applyFill="1" applyBorder="1" applyAlignment="1">
      <alignment horizontal="center" vertical="center"/>
    </xf>
    <xf numFmtId="178" fontId="7" fillId="0" borderId="6" xfId="1" applyNumberFormat="1" applyFont="1" applyFill="1" applyBorder="1" applyAlignment="1">
      <alignment horizontal="center" vertical="center"/>
    </xf>
    <xf numFmtId="0" fontId="7" fillId="0" borderId="7" xfId="2" applyFont="1" applyBorder="1" applyAlignment="1">
      <alignment horizontal="left" vertical="center"/>
    </xf>
    <xf numFmtId="178" fontId="7" fillId="0" borderId="8" xfId="2" applyNumberFormat="1" applyFont="1" applyBorder="1" applyAlignment="1">
      <alignment horizontal="center" vertical="center"/>
    </xf>
    <xf numFmtId="178" fontId="7" fillId="0" borderId="8" xfId="2" applyNumberFormat="1" applyFont="1" applyFill="1" applyBorder="1" applyAlignment="1">
      <alignment horizontal="center" vertical="center"/>
    </xf>
    <xf numFmtId="178" fontId="7" fillId="0" borderId="7" xfId="2" applyNumberFormat="1" applyFont="1" applyFill="1" applyBorder="1" applyAlignment="1">
      <alignment horizontal="center" vertical="center"/>
    </xf>
    <xf numFmtId="178" fontId="7" fillId="3" borderId="8" xfId="2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right" vertical="center"/>
    </xf>
    <xf numFmtId="176" fontId="7" fillId="3" borderId="0" xfId="2" applyNumberFormat="1" applyFont="1" applyFill="1" applyBorder="1" applyAlignment="1">
      <alignment horizontal="center" vertical="center"/>
    </xf>
    <xf numFmtId="176" fontId="7" fillId="0" borderId="0" xfId="2" applyNumberFormat="1" applyFont="1" applyBorder="1" applyAlignment="1">
      <alignment horizontal="center" vertical="center"/>
    </xf>
    <xf numFmtId="176" fontId="7" fillId="0" borderId="0" xfId="2" applyNumberFormat="1" applyFont="1" applyFill="1" applyBorder="1" applyAlignment="1">
      <alignment horizontal="center" vertical="center"/>
    </xf>
    <xf numFmtId="176" fontId="7" fillId="0" borderId="6" xfId="2" applyNumberFormat="1" applyFont="1" applyFill="1" applyBorder="1" applyAlignment="1">
      <alignment horizontal="center" vertical="center"/>
    </xf>
    <xf numFmtId="176" fontId="7" fillId="0" borderId="0" xfId="1" applyNumberFormat="1" applyFont="1" applyFill="1" applyBorder="1" applyAlignment="1">
      <alignment horizontal="center" vertical="center"/>
    </xf>
    <xf numFmtId="176" fontId="7" fillId="0" borderId="6" xfId="1" applyNumberFormat="1" applyFont="1" applyFill="1" applyBorder="1" applyAlignment="1">
      <alignment horizontal="center" vertical="center"/>
    </xf>
    <xf numFmtId="0" fontId="8" fillId="0" borderId="0" xfId="2" quotePrefix="1" applyFont="1" applyFill="1" applyBorder="1" applyAlignment="1">
      <alignment horizontal="justify" vertical="center"/>
    </xf>
    <xf numFmtId="0" fontId="7" fillId="0" borderId="10" xfId="2" applyFont="1" applyBorder="1" applyAlignment="1">
      <alignment horizontal="left" vertical="center"/>
    </xf>
    <xf numFmtId="176" fontId="7" fillId="0" borderId="9" xfId="2" applyNumberFormat="1" applyFont="1" applyBorder="1" applyAlignment="1">
      <alignment horizontal="center" vertical="center"/>
    </xf>
    <xf numFmtId="176" fontId="7" fillId="0" borderId="9" xfId="2" applyNumberFormat="1" applyFont="1" applyFill="1" applyBorder="1" applyAlignment="1">
      <alignment horizontal="center" vertical="center"/>
    </xf>
    <xf numFmtId="176" fontId="7" fillId="0" borderId="10" xfId="2" applyNumberFormat="1" applyFont="1" applyFill="1" applyBorder="1" applyAlignment="1">
      <alignment horizontal="center" vertical="center"/>
    </xf>
    <xf numFmtId="176" fontId="7" fillId="3" borderId="9" xfId="2" applyNumberFormat="1" applyFont="1" applyFill="1" applyBorder="1" applyAlignment="1">
      <alignment horizontal="center" vertical="center"/>
    </xf>
    <xf numFmtId="0" fontId="8" fillId="2" borderId="13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177" fontId="7" fillId="0" borderId="14" xfId="1" applyNumberFormat="1" applyFont="1" applyBorder="1" applyAlignment="1">
      <alignment horizontal="center" vertical="center"/>
    </xf>
    <xf numFmtId="177" fontId="7" fillId="0" borderId="2" xfId="1" applyNumberFormat="1" applyFont="1" applyBorder="1" applyAlignment="1">
      <alignment horizontal="center" vertical="center"/>
    </xf>
    <xf numFmtId="177" fontId="7" fillId="0" borderId="2" xfId="1" applyNumberFormat="1" applyFont="1" applyFill="1" applyBorder="1" applyAlignment="1">
      <alignment horizontal="center" vertical="center"/>
    </xf>
    <xf numFmtId="177" fontId="7" fillId="0" borderId="15" xfId="1" applyNumberFormat="1" applyFont="1" applyFill="1" applyBorder="1" applyAlignment="1">
      <alignment horizontal="center" vertical="center"/>
    </xf>
    <xf numFmtId="177" fontId="7" fillId="3" borderId="2" xfId="2" applyNumberFormat="1" applyFont="1" applyFill="1" applyBorder="1" applyAlignment="1">
      <alignment horizontal="center" vertical="center"/>
    </xf>
    <xf numFmtId="177" fontId="7" fillId="0" borderId="16" xfId="1" applyNumberFormat="1" applyFont="1" applyBorder="1" applyAlignment="1">
      <alignment horizontal="center" vertical="center"/>
    </xf>
    <xf numFmtId="0" fontId="7" fillId="0" borderId="0" xfId="2" applyFont="1" applyBorder="1" applyAlignment="1">
      <alignment horizontal="left" vertical="center"/>
    </xf>
    <xf numFmtId="0" fontId="7" fillId="0" borderId="9" xfId="2" applyFont="1" applyBorder="1" applyAlignment="1">
      <alignment horizontal="left" vertical="center"/>
    </xf>
    <xf numFmtId="0" fontId="7" fillId="0" borderId="17" xfId="2" applyFont="1" applyBorder="1" applyAlignment="1">
      <alignment horizontal="left" vertical="center"/>
    </xf>
    <xf numFmtId="177" fontId="7" fillId="0" borderId="18" xfId="1" applyNumberFormat="1" applyFont="1" applyBorder="1" applyAlignment="1">
      <alignment horizontal="center" vertical="center"/>
    </xf>
    <xf numFmtId="177" fontId="7" fillId="0" borderId="19" xfId="1" applyNumberFormat="1" applyFont="1" applyBorder="1" applyAlignment="1">
      <alignment horizontal="center" vertical="center"/>
    </xf>
    <xf numFmtId="177" fontId="7" fillId="0" borderId="19" xfId="1" applyNumberFormat="1" applyFont="1" applyFill="1" applyBorder="1" applyAlignment="1">
      <alignment horizontal="center" vertical="center"/>
    </xf>
    <xf numFmtId="177" fontId="7" fillId="0" borderId="17" xfId="1" applyNumberFormat="1" applyFont="1" applyFill="1" applyBorder="1" applyAlignment="1">
      <alignment horizontal="center" vertical="center"/>
    </xf>
    <xf numFmtId="177" fontId="7" fillId="3" borderId="20" xfId="2" applyNumberFormat="1" applyFont="1" applyFill="1" applyBorder="1" applyAlignment="1">
      <alignment horizontal="center" vertical="center"/>
    </xf>
    <xf numFmtId="177" fontId="7" fillId="3" borderId="8" xfId="2" applyNumberFormat="1" applyFont="1" applyFill="1" applyBorder="1" applyAlignment="1">
      <alignment horizontal="center" vertical="center"/>
    </xf>
    <xf numFmtId="177" fontId="7" fillId="3" borderId="14" xfId="2" applyNumberFormat="1" applyFont="1" applyFill="1" applyBorder="1" applyAlignment="1">
      <alignment horizontal="center" vertical="center"/>
    </xf>
    <xf numFmtId="177" fontId="7" fillId="3" borderId="16" xfId="2" applyNumberFormat="1" applyFont="1" applyFill="1" applyBorder="1" applyAlignment="1">
      <alignment horizontal="center" vertical="center"/>
    </xf>
    <xf numFmtId="0" fontId="8" fillId="2" borderId="15" xfId="2" applyFont="1" applyFill="1" applyBorder="1" applyAlignment="1">
      <alignment horizontal="center" vertical="center"/>
    </xf>
    <xf numFmtId="0" fontId="7" fillId="0" borderId="21" xfId="2" applyFont="1" applyBorder="1" applyAlignment="1">
      <alignment horizontal="left" vertical="center"/>
    </xf>
    <xf numFmtId="0" fontId="7" fillId="0" borderId="16" xfId="2" applyFont="1" applyBorder="1" applyAlignment="1">
      <alignment horizontal="left" vertical="center"/>
    </xf>
    <xf numFmtId="0" fontId="7" fillId="0" borderId="18" xfId="2" applyFont="1" applyBorder="1" applyAlignment="1">
      <alignment horizontal="left" vertical="center"/>
    </xf>
    <xf numFmtId="176" fontId="7" fillId="0" borderId="19" xfId="2" applyNumberFormat="1" applyFont="1" applyBorder="1" applyAlignment="1">
      <alignment horizontal="center" vertical="center"/>
    </xf>
    <xf numFmtId="176" fontId="7" fillId="0" borderId="19" xfId="2" applyNumberFormat="1" applyFont="1" applyFill="1" applyBorder="1" applyAlignment="1">
      <alignment horizontal="center" vertical="center"/>
    </xf>
    <xf numFmtId="176" fontId="7" fillId="0" borderId="17" xfId="2" applyNumberFormat="1" applyFont="1" applyFill="1" applyBorder="1" applyAlignment="1">
      <alignment horizontal="center" vertical="center"/>
    </xf>
    <xf numFmtId="178" fontId="7" fillId="0" borderId="21" xfId="2" applyNumberFormat="1" applyFont="1" applyBorder="1" applyAlignment="1">
      <alignment horizontal="center" vertical="center"/>
    </xf>
    <xf numFmtId="178" fontId="7" fillId="0" borderId="5" xfId="2" applyNumberFormat="1" applyFont="1" applyBorder="1" applyAlignment="1">
      <alignment horizontal="center" vertical="center"/>
    </xf>
    <xf numFmtId="178" fontId="7" fillId="0" borderId="5" xfId="2" applyNumberFormat="1" applyFont="1" applyFill="1" applyBorder="1" applyAlignment="1">
      <alignment horizontal="center" vertical="center"/>
    </xf>
    <xf numFmtId="178" fontId="7" fillId="0" borderId="4" xfId="2" applyNumberFormat="1" applyFont="1" applyFill="1" applyBorder="1" applyAlignment="1">
      <alignment horizontal="center" vertical="center"/>
    </xf>
    <xf numFmtId="178" fontId="7" fillId="0" borderId="16" xfId="2" applyNumberFormat="1" applyFont="1" applyBorder="1" applyAlignment="1">
      <alignment horizontal="center" vertical="center"/>
    </xf>
    <xf numFmtId="178" fontId="7" fillId="0" borderId="20" xfId="2" applyNumberFormat="1" applyFont="1" applyBorder="1" applyAlignment="1">
      <alignment horizontal="center" vertical="center"/>
    </xf>
    <xf numFmtId="178" fontId="7" fillId="3" borderId="14" xfId="2" applyNumberFormat="1" applyFont="1" applyFill="1" applyBorder="1" applyAlignment="1">
      <alignment horizontal="center" vertical="center"/>
    </xf>
    <xf numFmtId="178" fontId="7" fillId="3" borderId="2" xfId="2" applyNumberFormat="1" applyFont="1" applyFill="1" applyBorder="1" applyAlignment="1">
      <alignment horizontal="center" vertical="center"/>
    </xf>
    <xf numFmtId="178" fontId="7" fillId="3" borderId="16" xfId="2" applyNumberFormat="1" applyFont="1" applyFill="1" applyBorder="1" applyAlignment="1">
      <alignment horizontal="center" vertical="center"/>
    </xf>
    <xf numFmtId="178" fontId="7" fillId="3" borderId="20" xfId="2" applyNumberFormat="1" applyFont="1" applyFill="1" applyBorder="1" applyAlignment="1">
      <alignment horizontal="center" vertical="center"/>
    </xf>
  </cellXfs>
  <cellStyles count="5">
    <cellStyle name="fa_column_header_bottom" xfId="3"/>
    <cellStyle name="백분율" xfId="4" builtinId="5"/>
    <cellStyle name="쉼표 [0]" xfId="1" builtinId="6"/>
    <cellStyle name="표준" xfId="0" builtinId="0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83267195767196E-2"/>
          <c:y val="0.14651023391812865"/>
          <c:w val="0.89428720238095238"/>
          <c:h val="0.7732280701754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값복사!$F$10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값복사!$G$10:$S$10</c:f>
              <c:numCache>
                <c:formatCode>#,##0_ </c:formatCode>
                <c:ptCount val="13"/>
                <c:pt idx="0">
                  <c:v>5010</c:v>
                </c:pt>
                <c:pt idx="1">
                  <c:v>6910</c:v>
                </c:pt>
                <c:pt idx="2">
                  <c:v>9714</c:v>
                </c:pt>
                <c:pt idx="3">
                  <c:v>11716</c:v>
                </c:pt>
                <c:pt idx="4">
                  <c:v>10918</c:v>
                </c:pt>
                <c:pt idx="5">
                  <c:v>16675</c:v>
                </c:pt>
                <c:pt idx="6">
                  <c:v>26914</c:v>
                </c:pt>
                <c:pt idx="7">
                  <c:v>26974</c:v>
                </c:pt>
                <c:pt idx="8">
                  <c:v>60922</c:v>
                </c:pt>
                <c:pt idx="9">
                  <c:v>130497</c:v>
                </c:pt>
                <c:pt idx="10">
                  <c:v>369689.7910447761</c:v>
                </c:pt>
                <c:pt idx="11">
                  <c:v>489692.671875</c:v>
                </c:pt>
                <c:pt idx="12">
                  <c:v>591813.23529411771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6-4BD2-94D3-7810E57DD4BC}"/>
            </c:ext>
          </c:extLst>
        </c:ser>
        <c:ser>
          <c:idx val="5"/>
          <c:order val="1"/>
          <c:tx>
            <c:strRef>
              <c:f>값복사!$F$15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00349E"/>
            </a:solidFill>
            <a:ln>
              <a:noFill/>
            </a:ln>
            <a:effectLst/>
          </c:spPr>
          <c:invertIfNegative val="0"/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값복사!$G$15:$S$15</c:f>
              <c:numCache>
                <c:formatCode>#,##0_ </c:formatCode>
                <c:ptCount val="13"/>
                <c:pt idx="0">
                  <c:v>968</c:v>
                </c:pt>
                <c:pt idx="1">
                  <c:v>1953</c:v>
                </c:pt>
                <c:pt idx="2">
                  <c:v>3224</c:v>
                </c:pt>
                <c:pt idx="3">
                  <c:v>3850</c:v>
                </c:pt>
                <c:pt idx="4">
                  <c:v>2891</c:v>
                </c:pt>
                <c:pt idx="5">
                  <c:v>5406</c:v>
                </c:pt>
                <c:pt idx="6">
                  <c:v>11030</c:v>
                </c:pt>
                <c:pt idx="7">
                  <c:v>6328</c:v>
                </c:pt>
                <c:pt idx="8">
                  <c:v>33595</c:v>
                </c:pt>
                <c:pt idx="9">
                  <c:v>82052</c:v>
                </c:pt>
                <c:pt idx="10">
                  <c:v>244897.30909090908</c:v>
                </c:pt>
                <c:pt idx="11">
                  <c:v>327349.88888888893</c:v>
                </c:pt>
                <c:pt idx="12">
                  <c:v>366304.81481481483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76-4BD2-94D3-7810E57DD4BC}"/>
            </c:ext>
          </c:extLst>
        </c:ser>
        <c:ser>
          <c:idx val="10"/>
          <c:order val="3"/>
          <c:tx>
            <c:strRef>
              <c:f>값복사!$F$20</c:f>
              <c:strCache>
                <c:ptCount val="1"/>
                <c:pt idx="0">
                  <c:v>순이익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값복사!$G$20:$S$20</c:f>
              <c:numCache>
                <c:formatCode>#,##0_ </c:formatCode>
                <c:ptCount val="13"/>
                <c:pt idx="0">
                  <c:v>772.60299999999995</c:v>
                </c:pt>
                <c:pt idx="1">
                  <c:v>1686.2431999999999</c:v>
                </c:pt>
                <c:pt idx="2">
                  <c:v>2916.8411000000001</c:v>
                </c:pt>
                <c:pt idx="3">
                  <c:v>3772.8845999999999</c:v>
                </c:pt>
                <c:pt idx="4">
                  <c:v>2836.509</c:v>
                </c:pt>
                <c:pt idx="5">
                  <c:v>5079.2160000000003</c:v>
                </c:pt>
                <c:pt idx="6">
                  <c:v>10083.4874</c:v>
                </c:pt>
                <c:pt idx="7">
                  <c:v>6134.1017000000002</c:v>
                </c:pt>
                <c:pt idx="8">
                  <c:v>30010.474900000001</c:v>
                </c:pt>
                <c:pt idx="9">
                  <c:v>72741.5</c:v>
                </c:pt>
                <c:pt idx="10">
                  <c:v>203998.07699999999</c:v>
                </c:pt>
                <c:pt idx="11">
                  <c:v>271657.96000000002</c:v>
                </c:pt>
                <c:pt idx="12">
                  <c:v>307361.22200000001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76-4BD2-94D3-7810E57DD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6"/>
          <c:order val="2"/>
          <c:tx>
            <c:strRef>
              <c:f>값복사!$F$16</c:f>
              <c:strCache>
                <c:ptCount val="1"/>
                <c:pt idx="0">
                  <c:v>OPM(%)</c:v>
                </c:pt>
              </c:strCache>
            </c:strRef>
          </c:tx>
          <c:spPr>
            <a:ln w="15875" cap="rnd">
              <a:solidFill>
                <a:srgbClr val="729FFF"/>
              </a:solidFill>
              <a:round/>
            </a:ln>
            <a:effectLst/>
          </c:spPr>
          <c:marker>
            <c:symbol val="none"/>
          </c:marker>
          <c:cat>
            <c:numRef>
              <c:f>값복사!$G$9:$O$9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값복사!$G$16:$S$16</c:f>
              <c:numCache>
                <c:formatCode>#,##0.0_ </c:formatCode>
                <c:ptCount val="13"/>
                <c:pt idx="0">
                  <c:v>19.321357285429141</c:v>
                </c:pt>
                <c:pt idx="1">
                  <c:v>28.263386396526773</c:v>
                </c:pt>
                <c:pt idx="2">
                  <c:v>33.189211447395515</c:v>
                </c:pt>
                <c:pt idx="3">
                  <c:v>32.861044725162166</c:v>
                </c:pt>
                <c:pt idx="4">
                  <c:v>26.479208646272212</c:v>
                </c:pt>
                <c:pt idx="5">
                  <c:v>32.419790104947523</c:v>
                </c:pt>
                <c:pt idx="6">
                  <c:v>40.982388348071638</c:v>
                </c:pt>
                <c:pt idx="7">
                  <c:v>23.459627789723434</c:v>
                </c:pt>
                <c:pt idx="8">
                  <c:v>55.144282853484782</c:v>
                </c:pt>
                <c:pt idx="9">
                  <c:v>62.87654122316988</c:v>
                </c:pt>
                <c:pt idx="10">
                  <c:v>66.244001057970138</c:v>
                </c:pt>
                <c:pt idx="11">
                  <c:v>66.848026872750296</c:v>
                </c:pt>
                <c:pt idx="12">
                  <c:v>61.895340112285538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76-4BD2-94D3-7810E57DD4BC}"/>
            </c:ext>
          </c:extLst>
        </c:ser>
        <c:ser>
          <c:idx val="11"/>
          <c:order val="4"/>
          <c:tx>
            <c:strRef>
              <c:f>값복사!$F$21</c:f>
              <c:strCache>
                <c:ptCount val="1"/>
                <c:pt idx="0">
                  <c:v>순이익률(%)</c:v>
                </c:pt>
              </c:strCache>
            </c:strRef>
          </c:tx>
          <c:spPr>
            <a:ln w="15875" cap="rnd">
              <a:solidFill>
                <a:srgbClr val="B8CFFF"/>
              </a:solidFill>
              <a:round/>
            </a:ln>
            <a:effectLst/>
          </c:spPr>
          <c:marker>
            <c:symbol val="none"/>
          </c:marker>
          <c:cat>
            <c:numRef>
              <c:f>값복사!$G$9:$O$9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값복사!$G$21:$S$21</c:f>
              <c:numCache>
                <c:formatCode>#,##0.0_ </c:formatCode>
                <c:ptCount val="13"/>
                <c:pt idx="0">
                  <c:v>15.421217564870259</c:v>
                </c:pt>
                <c:pt idx="1">
                  <c:v>24.40294066570188</c:v>
                </c:pt>
                <c:pt idx="2">
                  <c:v>30.027188593782171</c:v>
                </c:pt>
                <c:pt idx="3">
                  <c:v>32.202838852850803</c:v>
                </c:pt>
                <c:pt idx="4">
                  <c:v>25.98011540575197</c:v>
                </c:pt>
                <c:pt idx="5">
                  <c:v>30.46006596701649</c:v>
                </c:pt>
                <c:pt idx="6">
                  <c:v>37.465584454187415</c:v>
                </c:pt>
                <c:pt idx="7">
                  <c:v>22.740793727292949</c:v>
                </c:pt>
                <c:pt idx="8">
                  <c:v>49.260488657627789</c:v>
                </c:pt>
                <c:pt idx="9">
                  <c:v>55.741894449680842</c:v>
                </c:pt>
                <c:pt idx="10">
                  <c:v>55.180879196983867</c:v>
                </c:pt>
                <c:pt idx="11">
                  <c:v>55.475194055863675</c:v>
                </c:pt>
                <c:pt idx="12">
                  <c:v>51.935510000422425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76-4BD2-94D3-7810E57DD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16143"/>
        <c:axId val="1437309903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1437309903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7316143"/>
        <c:crosses val="max"/>
        <c:crossBetween val="between"/>
      </c:valAx>
      <c:catAx>
        <c:axId val="1437316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30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638888772328696E-2"/>
          <c:y val="0.12257407407407407"/>
          <c:w val="0.95999999440511063"/>
          <c:h val="0.877425925925925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값복사!$F$10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00349E"/>
            </a:solidFill>
            <a:ln>
              <a:noFill/>
            </a:ln>
            <a:effectLst/>
          </c:spPr>
          <c:invertIfNegative val="0"/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값복사!$G$10:$S$10</c:f>
              <c:numCache>
                <c:formatCode>#,##0_ </c:formatCode>
                <c:ptCount val="13"/>
                <c:pt idx="0">
                  <c:v>5010</c:v>
                </c:pt>
                <c:pt idx="1">
                  <c:v>6910</c:v>
                </c:pt>
                <c:pt idx="2">
                  <c:v>9714</c:v>
                </c:pt>
                <c:pt idx="3">
                  <c:v>11716</c:v>
                </c:pt>
                <c:pt idx="4">
                  <c:v>10918</c:v>
                </c:pt>
                <c:pt idx="5">
                  <c:v>16675</c:v>
                </c:pt>
                <c:pt idx="6">
                  <c:v>26914</c:v>
                </c:pt>
                <c:pt idx="7">
                  <c:v>26974</c:v>
                </c:pt>
                <c:pt idx="8">
                  <c:v>60922</c:v>
                </c:pt>
                <c:pt idx="9">
                  <c:v>130497</c:v>
                </c:pt>
                <c:pt idx="10">
                  <c:v>369689.7910447761</c:v>
                </c:pt>
                <c:pt idx="11">
                  <c:v>489692.671875</c:v>
                </c:pt>
                <c:pt idx="12">
                  <c:v>591813.23529411771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D-4A73-B357-E9208E2A8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2414930555555556E-2"/>
          <c:y val="0.12257407407407407"/>
          <c:w val="0.95999999440511063"/>
          <c:h val="0.87742592592592594"/>
        </c:manualLayout>
      </c:layout>
      <c:barChart>
        <c:barDir val="col"/>
        <c:grouping val="clustered"/>
        <c:varyColors val="0"/>
        <c:ser>
          <c:idx val="10"/>
          <c:order val="0"/>
          <c:tx>
            <c:strRef>
              <c:f>값복사!$F$20</c:f>
              <c:strCache>
                <c:ptCount val="1"/>
                <c:pt idx="0">
                  <c:v>순이익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값복사!$G$20:$S$20</c:f>
              <c:numCache>
                <c:formatCode>#,##0_ </c:formatCode>
                <c:ptCount val="13"/>
                <c:pt idx="0">
                  <c:v>772.60299999999995</c:v>
                </c:pt>
                <c:pt idx="1">
                  <c:v>1686.2431999999999</c:v>
                </c:pt>
                <c:pt idx="2">
                  <c:v>2916.8411000000001</c:v>
                </c:pt>
                <c:pt idx="3">
                  <c:v>3772.8845999999999</c:v>
                </c:pt>
                <c:pt idx="4">
                  <c:v>2836.509</c:v>
                </c:pt>
                <c:pt idx="5">
                  <c:v>5079.2160000000003</c:v>
                </c:pt>
                <c:pt idx="6">
                  <c:v>10083.4874</c:v>
                </c:pt>
                <c:pt idx="7">
                  <c:v>6134.1017000000002</c:v>
                </c:pt>
                <c:pt idx="8">
                  <c:v>30010.474900000001</c:v>
                </c:pt>
                <c:pt idx="9">
                  <c:v>72741.5</c:v>
                </c:pt>
                <c:pt idx="10">
                  <c:v>203998.07699999999</c:v>
                </c:pt>
                <c:pt idx="11">
                  <c:v>271657.96000000002</c:v>
                </c:pt>
                <c:pt idx="12">
                  <c:v>307361.22200000001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2-486C-9FE1-36B9803D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11"/>
          <c:order val="1"/>
          <c:tx>
            <c:strRef>
              <c:f>값복사!$F$21</c:f>
              <c:strCache>
                <c:ptCount val="1"/>
                <c:pt idx="0">
                  <c:v>순이익률(%)</c:v>
                </c:pt>
              </c:strCache>
            </c:strRef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값복사!$G$21:$S$21</c:f>
              <c:numCache>
                <c:formatCode>#,##0.0_ </c:formatCode>
                <c:ptCount val="13"/>
                <c:pt idx="0">
                  <c:v>15.421217564870259</c:v>
                </c:pt>
                <c:pt idx="1">
                  <c:v>24.40294066570188</c:v>
                </c:pt>
                <c:pt idx="2">
                  <c:v>30.027188593782171</c:v>
                </c:pt>
                <c:pt idx="3">
                  <c:v>32.202838852850803</c:v>
                </c:pt>
                <c:pt idx="4">
                  <c:v>25.98011540575197</c:v>
                </c:pt>
                <c:pt idx="5">
                  <c:v>30.46006596701649</c:v>
                </c:pt>
                <c:pt idx="6">
                  <c:v>37.465584454187415</c:v>
                </c:pt>
                <c:pt idx="7">
                  <c:v>22.740793727292949</c:v>
                </c:pt>
                <c:pt idx="8">
                  <c:v>49.260488657627789</c:v>
                </c:pt>
                <c:pt idx="9">
                  <c:v>55.741894449680842</c:v>
                </c:pt>
                <c:pt idx="10">
                  <c:v>55.180879196983867</c:v>
                </c:pt>
                <c:pt idx="11">
                  <c:v>55.475194055863675</c:v>
                </c:pt>
                <c:pt idx="12">
                  <c:v>51.935510000422425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32-486C-9FE1-36B9803D1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16143"/>
        <c:axId val="1437309903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1437309903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7316143"/>
        <c:crosses val="max"/>
        <c:crossBetween val="between"/>
      </c:valAx>
      <c:catAx>
        <c:axId val="1437316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30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2414930555555556E-2"/>
          <c:y val="0.12257407407407407"/>
          <c:w val="0.95999999440511063"/>
          <c:h val="0.87742592592592594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값복사!$F$15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값복사!$G$15:$S$15</c:f>
              <c:numCache>
                <c:formatCode>#,##0_ </c:formatCode>
                <c:ptCount val="13"/>
                <c:pt idx="0">
                  <c:v>968</c:v>
                </c:pt>
                <c:pt idx="1">
                  <c:v>1953</c:v>
                </c:pt>
                <c:pt idx="2">
                  <c:v>3224</c:v>
                </c:pt>
                <c:pt idx="3">
                  <c:v>3850</c:v>
                </c:pt>
                <c:pt idx="4">
                  <c:v>2891</c:v>
                </c:pt>
                <c:pt idx="5">
                  <c:v>5406</c:v>
                </c:pt>
                <c:pt idx="6">
                  <c:v>11030</c:v>
                </c:pt>
                <c:pt idx="7">
                  <c:v>6328</c:v>
                </c:pt>
                <c:pt idx="8">
                  <c:v>33595</c:v>
                </c:pt>
                <c:pt idx="9">
                  <c:v>82052</c:v>
                </c:pt>
                <c:pt idx="10">
                  <c:v>244897.30909090908</c:v>
                </c:pt>
                <c:pt idx="11">
                  <c:v>327349.88888888893</c:v>
                </c:pt>
                <c:pt idx="12">
                  <c:v>366304.81481481483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2-4655-A82F-73392D49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6"/>
          <c:order val="1"/>
          <c:tx>
            <c:strRef>
              <c:f>값복사!$F$16</c:f>
              <c:strCache>
                <c:ptCount val="1"/>
                <c:pt idx="0">
                  <c:v>OPM(%)</c:v>
                </c:pt>
              </c:strCache>
            </c:strRef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numRef>
              <c:f>값복사!$G$9:$O$9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값복사!$G$16:$S$16</c:f>
              <c:numCache>
                <c:formatCode>#,##0.0_ </c:formatCode>
                <c:ptCount val="13"/>
                <c:pt idx="0">
                  <c:v>19.321357285429141</c:v>
                </c:pt>
                <c:pt idx="1">
                  <c:v>28.263386396526773</c:v>
                </c:pt>
                <c:pt idx="2">
                  <c:v>33.189211447395515</c:v>
                </c:pt>
                <c:pt idx="3">
                  <c:v>32.861044725162166</c:v>
                </c:pt>
                <c:pt idx="4">
                  <c:v>26.479208646272212</c:v>
                </c:pt>
                <c:pt idx="5">
                  <c:v>32.419790104947523</c:v>
                </c:pt>
                <c:pt idx="6">
                  <c:v>40.982388348071638</c:v>
                </c:pt>
                <c:pt idx="7">
                  <c:v>23.459627789723434</c:v>
                </c:pt>
                <c:pt idx="8">
                  <c:v>55.144282853484782</c:v>
                </c:pt>
                <c:pt idx="9">
                  <c:v>62.87654122316988</c:v>
                </c:pt>
                <c:pt idx="10">
                  <c:v>66.244001057970138</c:v>
                </c:pt>
                <c:pt idx="11">
                  <c:v>66.848026872750296</c:v>
                </c:pt>
                <c:pt idx="12">
                  <c:v>61.895340112285538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F2-4655-A82F-73392D49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16143"/>
        <c:axId val="1437309903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1437309903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7316143"/>
        <c:crosses val="max"/>
        <c:crossBetween val="between"/>
      </c:valAx>
      <c:catAx>
        <c:axId val="1437316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30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2.2414847883597884E-2"/>
          <c:y val="0.12257407407407407"/>
          <c:w val="0.95999997287326388"/>
          <c:h val="0.87742592592592594"/>
        </c:manualLayout>
      </c:layout>
      <c:barChart>
        <c:barDir val="col"/>
        <c:grouping val="clustered"/>
        <c:varyColors val="0"/>
        <c:ser>
          <c:idx val="5"/>
          <c:order val="0"/>
          <c:tx>
            <c:strRef>
              <c:f>값복사!$F$15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B9D0FF"/>
            </a:solidFill>
            <a:ln>
              <a:noFill/>
            </a:ln>
            <a:effectLst/>
          </c:spPr>
          <c:invertIfNegative val="0"/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값복사!$G$15:$S$15</c:f>
              <c:numCache>
                <c:formatCode>#,##0_ </c:formatCode>
                <c:ptCount val="13"/>
                <c:pt idx="0">
                  <c:v>968</c:v>
                </c:pt>
                <c:pt idx="1">
                  <c:v>1953</c:v>
                </c:pt>
                <c:pt idx="2">
                  <c:v>3224</c:v>
                </c:pt>
                <c:pt idx="3">
                  <c:v>3850</c:v>
                </c:pt>
                <c:pt idx="4">
                  <c:v>2891</c:v>
                </c:pt>
                <c:pt idx="5">
                  <c:v>5406</c:v>
                </c:pt>
                <c:pt idx="6">
                  <c:v>11030</c:v>
                </c:pt>
                <c:pt idx="7">
                  <c:v>6328</c:v>
                </c:pt>
                <c:pt idx="8">
                  <c:v>33595</c:v>
                </c:pt>
                <c:pt idx="9">
                  <c:v>82052</c:v>
                </c:pt>
                <c:pt idx="10">
                  <c:v>244897.30909090908</c:v>
                </c:pt>
                <c:pt idx="11">
                  <c:v>327349.88888888893</c:v>
                </c:pt>
                <c:pt idx="12">
                  <c:v>366304.81481481483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E-4BA6-9C11-A45F58B9C20D}"/>
            </c:ext>
          </c:extLst>
        </c:ser>
        <c:ser>
          <c:idx val="10"/>
          <c:order val="2"/>
          <c:tx>
            <c:strRef>
              <c:f>값복사!$F$20</c:f>
              <c:strCache>
                <c:ptCount val="1"/>
                <c:pt idx="0">
                  <c:v>순이익</c:v>
                </c:pt>
              </c:strCache>
            </c:strRef>
          </c:tx>
          <c:spPr>
            <a:solidFill>
              <a:srgbClr val="729FFF"/>
            </a:solidFill>
            <a:ln>
              <a:noFill/>
            </a:ln>
            <a:effectLst/>
          </c:spPr>
          <c:invertIfNegative val="0"/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값복사!$G$20:$S$20</c:f>
              <c:numCache>
                <c:formatCode>#,##0_ </c:formatCode>
                <c:ptCount val="13"/>
                <c:pt idx="0">
                  <c:v>772.60299999999995</c:v>
                </c:pt>
                <c:pt idx="1">
                  <c:v>1686.2431999999999</c:v>
                </c:pt>
                <c:pt idx="2">
                  <c:v>2916.8411000000001</c:v>
                </c:pt>
                <c:pt idx="3">
                  <c:v>3772.8845999999999</c:v>
                </c:pt>
                <c:pt idx="4">
                  <c:v>2836.509</c:v>
                </c:pt>
                <c:pt idx="5">
                  <c:v>5079.2160000000003</c:v>
                </c:pt>
                <c:pt idx="6">
                  <c:v>10083.4874</c:v>
                </c:pt>
                <c:pt idx="7">
                  <c:v>6134.1017000000002</c:v>
                </c:pt>
                <c:pt idx="8">
                  <c:v>30010.474900000001</c:v>
                </c:pt>
                <c:pt idx="9">
                  <c:v>72741.5</c:v>
                </c:pt>
                <c:pt idx="10">
                  <c:v>203998.07699999999</c:v>
                </c:pt>
                <c:pt idx="11">
                  <c:v>271657.96000000002</c:v>
                </c:pt>
                <c:pt idx="12">
                  <c:v>307361.22200000001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7E-4BA6-9C11-A45F58B9C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5881727"/>
        <c:axId val="1435885887"/>
      </c:barChart>
      <c:lineChart>
        <c:grouping val="standard"/>
        <c:varyColors val="0"/>
        <c:ser>
          <c:idx val="6"/>
          <c:order val="1"/>
          <c:tx>
            <c:strRef>
              <c:f>값복사!$F$16</c:f>
              <c:strCache>
                <c:ptCount val="1"/>
                <c:pt idx="0">
                  <c:v>OPM(%)</c:v>
                </c:pt>
              </c:strCache>
            </c:strRef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값복사!$G$16:$S$16</c:f>
              <c:numCache>
                <c:formatCode>#,##0.0_ </c:formatCode>
                <c:ptCount val="13"/>
                <c:pt idx="0">
                  <c:v>19.321357285429141</c:v>
                </c:pt>
                <c:pt idx="1">
                  <c:v>28.263386396526773</c:v>
                </c:pt>
                <c:pt idx="2">
                  <c:v>33.189211447395515</c:v>
                </c:pt>
                <c:pt idx="3">
                  <c:v>32.861044725162166</c:v>
                </c:pt>
                <c:pt idx="4">
                  <c:v>26.479208646272212</c:v>
                </c:pt>
                <c:pt idx="5">
                  <c:v>32.419790104947523</c:v>
                </c:pt>
                <c:pt idx="6">
                  <c:v>40.982388348071638</c:v>
                </c:pt>
                <c:pt idx="7">
                  <c:v>23.459627789723434</c:v>
                </c:pt>
                <c:pt idx="8">
                  <c:v>55.144282853484782</c:v>
                </c:pt>
                <c:pt idx="9">
                  <c:v>62.87654122316988</c:v>
                </c:pt>
                <c:pt idx="10">
                  <c:v>66.244001057970138</c:v>
                </c:pt>
                <c:pt idx="11">
                  <c:v>66.848026872750296</c:v>
                </c:pt>
                <c:pt idx="12">
                  <c:v>61.895340112285538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7E-4BA6-9C11-A45F58B9C20D}"/>
            </c:ext>
          </c:extLst>
        </c:ser>
        <c:ser>
          <c:idx val="11"/>
          <c:order val="3"/>
          <c:tx>
            <c:strRef>
              <c:f>값복사!$F$21</c:f>
              <c:strCache>
                <c:ptCount val="1"/>
                <c:pt idx="0">
                  <c:v>순이익률(%)</c:v>
                </c:pt>
              </c:strCache>
            </c:strRef>
          </c:tx>
          <c:spPr>
            <a:ln w="15875" cap="rnd">
              <a:solidFill>
                <a:srgbClr val="A6A6A6"/>
              </a:solidFill>
              <a:round/>
            </a:ln>
            <a:effectLst/>
          </c:spPr>
          <c:marker>
            <c:symbol val="none"/>
          </c:marker>
          <c:cat>
            <c:strRef>
              <c:f>값복사!$G$9:$S$9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값복사!$G$21:$S$21</c:f>
              <c:numCache>
                <c:formatCode>#,##0.0_ </c:formatCode>
                <c:ptCount val="13"/>
                <c:pt idx="0">
                  <c:v>15.421217564870259</c:v>
                </c:pt>
                <c:pt idx="1">
                  <c:v>24.40294066570188</c:v>
                </c:pt>
                <c:pt idx="2">
                  <c:v>30.027188593782171</c:v>
                </c:pt>
                <c:pt idx="3">
                  <c:v>32.202838852850803</c:v>
                </c:pt>
                <c:pt idx="4">
                  <c:v>25.98011540575197</c:v>
                </c:pt>
                <c:pt idx="5">
                  <c:v>30.46006596701649</c:v>
                </c:pt>
                <c:pt idx="6">
                  <c:v>37.465584454187415</c:v>
                </c:pt>
                <c:pt idx="7">
                  <c:v>22.740793727292949</c:v>
                </c:pt>
                <c:pt idx="8">
                  <c:v>49.260488657627789</c:v>
                </c:pt>
                <c:pt idx="9">
                  <c:v>55.741894449680842</c:v>
                </c:pt>
                <c:pt idx="10">
                  <c:v>55.180879196983867</c:v>
                </c:pt>
                <c:pt idx="11">
                  <c:v>55.475194055863675</c:v>
                </c:pt>
                <c:pt idx="12">
                  <c:v>51.935510000422425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7E-4BA6-9C11-A45F58B9C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316143"/>
        <c:axId val="1437309903"/>
      </c:lineChart>
      <c:catAx>
        <c:axId val="14358817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5887"/>
        <c:crosses val="autoZero"/>
        <c:auto val="1"/>
        <c:lblAlgn val="ctr"/>
        <c:lblOffset val="100"/>
        <c:noMultiLvlLbl val="0"/>
      </c:catAx>
      <c:valAx>
        <c:axId val="1435885887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1727"/>
        <c:crosses val="autoZero"/>
        <c:crossBetween val="between"/>
      </c:valAx>
      <c:valAx>
        <c:axId val="1437309903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7316143"/>
        <c:crosses val="max"/>
        <c:crossBetween val="between"/>
      </c:valAx>
      <c:catAx>
        <c:axId val="1437316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30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638888772328696E-2"/>
          <c:y val="0.12475633245694941"/>
          <c:w val="0.95999999440511063"/>
          <c:h val="0.875243664717348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값복사!$F$29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B9D0FF"/>
            </a:solidFill>
            <a:ln w="15875">
              <a:solidFill>
                <a:srgbClr val="00349E"/>
              </a:solidFill>
            </a:ln>
            <a:effectLst/>
          </c:spPr>
          <c:invertIfNegative val="0"/>
          <c:cat>
            <c:strRef>
              <c:f>값복사!$G$28:$S$28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값복사!$G$29:$S$29</c:f>
              <c:numCache>
                <c:formatCode>#,##0_ </c:formatCode>
                <c:ptCount val="13"/>
                <c:pt idx="0">
                  <c:v>3.4000000000000002E-2</c:v>
                </c:pt>
                <c:pt idx="1">
                  <c:v>6.5000000000000002E-2</c:v>
                </c:pt>
                <c:pt idx="2">
                  <c:v>0.1154</c:v>
                </c:pt>
                <c:pt idx="3">
                  <c:v>0.151</c:v>
                </c:pt>
                <c:pt idx="4">
                  <c:v>0.11459999999999999</c:v>
                </c:pt>
                <c:pt idx="5">
                  <c:v>0.20280000000000001</c:v>
                </c:pt>
                <c:pt idx="6">
                  <c:v>0.39810000000000001</c:v>
                </c:pt>
                <c:pt idx="7">
                  <c:v>0.24440000000000001</c:v>
                </c:pt>
                <c:pt idx="8">
                  <c:v>1.2030000000000001</c:v>
                </c:pt>
                <c:pt idx="9">
                  <c:v>2.9344000000000001</c:v>
                </c:pt>
                <c:pt idx="10">
                  <c:v>8.41</c:v>
                </c:pt>
                <c:pt idx="11">
                  <c:v>11.375</c:v>
                </c:pt>
                <c:pt idx="12">
                  <c:v>12.958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7-4784-B2B2-376BB5EA0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810559"/>
        <c:axId val="673808063"/>
      </c:barChart>
      <c:lineChart>
        <c:grouping val="standard"/>
        <c:varyColors val="0"/>
        <c:ser>
          <c:idx val="2"/>
          <c:order val="1"/>
          <c:tx>
            <c:strRef>
              <c:f>값복사!$F$31</c:f>
              <c:strCache>
                <c:ptCount val="1"/>
                <c:pt idx="0">
                  <c:v>PER</c:v>
                </c:pt>
              </c:strCache>
            </c:strRef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값복사!$G$28:$S$28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값복사!$G$31:$S$31</c:f>
              <c:numCache>
                <c:formatCode>#,##0_ </c:formatCode>
                <c:ptCount val="13"/>
                <c:pt idx="0">
                  <c:v>21.556699999999999</c:v>
                </c:pt>
                <c:pt idx="1">
                  <c:v>42.968800000000002</c:v>
                </c:pt>
                <c:pt idx="2">
                  <c:v>52.736699999999999</c:v>
                </c:pt>
                <c:pt idx="3">
                  <c:v>26.510400000000001</c:v>
                </c:pt>
                <c:pt idx="4">
                  <c:v>54.623800000000003</c:v>
                </c:pt>
                <c:pt idx="5">
                  <c:v>64.061599999999999</c:v>
                </c:pt>
                <c:pt idx="6">
                  <c:v>57.375900000000001</c:v>
                </c:pt>
                <c:pt idx="7">
                  <c:v>83.310599999999994</c:v>
                </c:pt>
                <c:pt idx="8">
                  <c:v>50.730499999999999</c:v>
                </c:pt>
                <c:pt idx="9">
                  <c:v>48.602499999999999</c:v>
                </c:pt>
                <c:pt idx="10">
                  <c:v>26.8525564803805</c:v>
                </c:pt>
                <c:pt idx="11">
                  <c:v>19.853186813186813</c:v>
                </c:pt>
                <c:pt idx="12">
                  <c:v>17.427843803056028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97-4784-B2B2-376BB5EA0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7767551"/>
        <c:axId val="1437765471"/>
      </c:lineChart>
      <c:catAx>
        <c:axId val="6738105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673808063"/>
        <c:crosses val="autoZero"/>
        <c:auto val="1"/>
        <c:lblAlgn val="ctr"/>
        <c:lblOffset val="100"/>
        <c:noMultiLvlLbl val="0"/>
      </c:catAx>
      <c:valAx>
        <c:axId val="673808063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673810559"/>
        <c:crosses val="autoZero"/>
        <c:crossBetween val="between"/>
      </c:valAx>
      <c:valAx>
        <c:axId val="1437765471"/>
        <c:scaling>
          <c:orientation val="minMax"/>
        </c:scaling>
        <c:delete val="0"/>
        <c:axPos val="r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7767551"/>
        <c:crosses val="max"/>
        <c:crossBetween val="between"/>
      </c:valAx>
      <c:catAx>
        <c:axId val="1437767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7765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638888772328696E-2"/>
          <c:y val="0.12475633245694941"/>
          <c:w val="0.95999999440511063"/>
          <c:h val="0.8752436647173489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값복사!$F$30</c:f>
              <c:strCache>
                <c:ptCount val="1"/>
                <c:pt idx="0">
                  <c:v>BPS</c:v>
                </c:pt>
              </c:strCache>
            </c:strRef>
          </c:tx>
          <c:spPr>
            <a:solidFill>
              <a:srgbClr val="B9D0FF"/>
            </a:solidFill>
            <a:ln w="15875">
              <a:solidFill>
                <a:srgbClr val="00349E"/>
              </a:solidFill>
            </a:ln>
            <a:effectLst/>
          </c:spPr>
          <c:invertIfNegative val="0"/>
          <c:cat>
            <c:strRef>
              <c:f>값복사!$G$28:$S$28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값복사!$G$30:$S$30</c:f>
              <c:numCache>
                <c:formatCode>#,##0_ </c:formatCode>
                <c:ptCount val="13"/>
                <c:pt idx="0">
                  <c:v>0.20730000000000001</c:v>
                </c:pt>
                <c:pt idx="1">
                  <c:v>0.2462</c:v>
                </c:pt>
                <c:pt idx="2">
                  <c:v>0.30819999999999997</c:v>
                </c:pt>
                <c:pt idx="3">
                  <c:v>0.38540000000000002</c:v>
                </c:pt>
                <c:pt idx="4">
                  <c:v>0.4985</c:v>
                </c:pt>
                <c:pt idx="5">
                  <c:v>0.68140000000000001</c:v>
                </c:pt>
                <c:pt idx="6">
                  <c:v>1.0619000000000001</c:v>
                </c:pt>
                <c:pt idx="7">
                  <c:v>0.8962</c:v>
                </c:pt>
                <c:pt idx="8">
                  <c:v>1.7442</c:v>
                </c:pt>
                <c:pt idx="9">
                  <c:v>3.2408999999999999</c:v>
                </c:pt>
                <c:pt idx="10">
                  <c:v>12.101000000000001</c:v>
                </c:pt>
                <c:pt idx="11">
                  <c:v>19.251000000000001</c:v>
                </c:pt>
                <c:pt idx="12">
                  <c:v>30.302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4-4BE2-90D9-2EE532967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810559"/>
        <c:axId val="673808063"/>
      </c:barChart>
      <c:lineChart>
        <c:grouping val="standard"/>
        <c:varyColors val="0"/>
        <c:ser>
          <c:idx val="3"/>
          <c:order val="1"/>
          <c:tx>
            <c:strRef>
              <c:f>값복사!$F$32</c:f>
              <c:strCache>
                <c:ptCount val="1"/>
                <c:pt idx="0">
                  <c:v>PBR</c:v>
                </c:pt>
              </c:strCache>
            </c:strRef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numRef>
              <c:f>값복사!$G$28:$O$28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값복사!$G$32:$S$32</c:f>
              <c:numCache>
                <c:formatCode>#,##0_ </c:formatCode>
                <c:ptCount val="13"/>
                <c:pt idx="0">
                  <c:v>3.5326</c:v>
                </c:pt>
                <c:pt idx="1">
                  <c:v>11.3477</c:v>
                </c:pt>
                <c:pt idx="2">
                  <c:v>19.737400000000001</c:v>
                </c:pt>
                <c:pt idx="3">
                  <c:v>10.3887</c:v>
                </c:pt>
                <c:pt idx="4">
                  <c:v>12.5609</c:v>
                </c:pt>
                <c:pt idx="5">
                  <c:v>19.062100000000001</c:v>
                </c:pt>
                <c:pt idx="6">
                  <c:v>21.507999999999999</c:v>
                </c:pt>
                <c:pt idx="7">
                  <c:v>22.722999999999999</c:v>
                </c:pt>
                <c:pt idx="8">
                  <c:v>34.990099999999998</c:v>
                </c:pt>
                <c:pt idx="9">
                  <c:v>44.006599999999999</c:v>
                </c:pt>
                <c:pt idx="10">
                  <c:v>18.662094041814726</c:v>
                </c:pt>
                <c:pt idx="11">
                  <c:v>11.730819178224507</c:v>
                </c:pt>
                <c:pt idx="12">
                  <c:v>7.4526433898752567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94-4BE2-90D9-2EE532967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886719"/>
        <c:axId val="1435874239"/>
      </c:lineChart>
      <c:catAx>
        <c:axId val="6738105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673808063"/>
        <c:crosses val="autoZero"/>
        <c:auto val="1"/>
        <c:lblAlgn val="ctr"/>
        <c:lblOffset val="100"/>
        <c:noMultiLvlLbl val="0"/>
      </c:catAx>
      <c:valAx>
        <c:axId val="673808063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673810559"/>
        <c:crosses val="autoZero"/>
        <c:crossBetween val="between"/>
      </c:valAx>
      <c:valAx>
        <c:axId val="1435874239"/>
        <c:scaling>
          <c:orientation val="minMax"/>
        </c:scaling>
        <c:delete val="0"/>
        <c:axPos val="r"/>
        <c:numFmt formatCode="#,##0.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1435886719"/>
        <c:crosses val="max"/>
        <c:crossBetween val="between"/>
      </c:valAx>
      <c:catAx>
        <c:axId val="1435886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5874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638888772328696E-2"/>
          <c:y val="0.12475633245694941"/>
          <c:w val="0.95999999440511063"/>
          <c:h val="0.87524366471734893"/>
        </c:manualLayout>
      </c:layout>
      <c:lineChart>
        <c:grouping val="standard"/>
        <c:varyColors val="0"/>
        <c:ser>
          <c:idx val="2"/>
          <c:order val="0"/>
          <c:tx>
            <c:strRef>
              <c:f>값복사!$F$31</c:f>
              <c:strCache>
                <c:ptCount val="1"/>
                <c:pt idx="0">
                  <c:v>PER</c:v>
                </c:pt>
              </c:strCache>
            </c:strRef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값복사!$G$28:$S$28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값복사!$G$31:$S$31</c:f>
              <c:numCache>
                <c:formatCode>#,##0_ </c:formatCode>
                <c:ptCount val="13"/>
                <c:pt idx="0">
                  <c:v>21.556699999999999</c:v>
                </c:pt>
                <c:pt idx="1">
                  <c:v>42.968800000000002</c:v>
                </c:pt>
                <c:pt idx="2">
                  <c:v>52.736699999999999</c:v>
                </c:pt>
                <c:pt idx="3">
                  <c:v>26.510400000000001</c:v>
                </c:pt>
                <c:pt idx="4">
                  <c:v>54.623800000000003</c:v>
                </c:pt>
                <c:pt idx="5">
                  <c:v>64.061599999999999</c:v>
                </c:pt>
                <c:pt idx="6">
                  <c:v>57.375900000000001</c:v>
                </c:pt>
                <c:pt idx="7">
                  <c:v>83.310599999999994</c:v>
                </c:pt>
                <c:pt idx="8">
                  <c:v>50.730499999999999</c:v>
                </c:pt>
                <c:pt idx="9">
                  <c:v>48.602499999999999</c:v>
                </c:pt>
                <c:pt idx="10">
                  <c:v>26.8525564803805</c:v>
                </c:pt>
                <c:pt idx="11">
                  <c:v>19.853186813186813</c:v>
                </c:pt>
                <c:pt idx="12">
                  <c:v>17.427843803056028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2-409A-B261-0B31101A7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810559"/>
        <c:axId val="673808063"/>
      </c:lineChart>
      <c:catAx>
        <c:axId val="6738105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673808063"/>
        <c:crosses val="autoZero"/>
        <c:auto val="1"/>
        <c:lblAlgn val="ctr"/>
        <c:lblOffset val="100"/>
        <c:noMultiLvlLbl val="0"/>
      </c:catAx>
      <c:valAx>
        <c:axId val="673808063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673810559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7638888772328696E-2"/>
          <c:y val="0.12475633245694941"/>
          <c:w val="0.95999999440511063"/>
          <c:h val="0.87524366471734893"/>
        </c:manualLayout>
      </c:layout>
      <c:lineChart>
        <c:grouping val="standard"/>
        <c:varyColors val="0"/>
        <c:ser>
          <c:idx val="3"/>
          <c:order val="0"/>
          <c:tx>
            <c:strRef>
              <c:f>값복사!$F$32</c:f>
              <c:strCache>
                <c:ptCount val="1"/>
                <c:pt idx="0">
                  <c:v>PBR</c:v>
                </c:pt>
              </c:strCache>
            </c:strRef>
          </c:tx>
          <c:spPr>
            <a:ln w="15875" cap="rnd">
              <a:solidFill>
                <a:srgbClr val="00349E"/>
              </a:solidFill>
              <a:round/>
            </a:ln>
            <a:effectLst/>
          </c:spPr>
          <c:marker>
            <c:symbol val="none"/>
          </c:marker>
          <c:cat>
            <c:strRef>
              <c:f>값복사!$G$28:$S$28</c:f>
              <c:strCache>
                <c:ptCount val="1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2026E</c:v>
                </c:pt>
                <c:pt idx="11">
                  <c:v>2027E</c:v>
                </c:pt>
                <c:pt idx="12">
                  <c:v>2028E</c:v>
                </c:pt>
              </c:strCache>
            </c:strRef>
          </c:cat>
          <c:val>
            <c:numRef>
              <c:f>값복사!$G$32:$S$32</c:f>
              <c:numCache>
                <c:formatCode>#,##0_ </c:formatCode>
                <c:ptCount val="13"/>
                <c:pt idx="0">
                  <c:v>3.5326</c:v>
                </c:pt>
                <c:pt idx="1">
                  <c:v>11.3477</c:v>
                </c:pt>
                <c:pt idx="2">
                  <c:v>19.737400000000001</c:v>
                </c:pt>
                <c:pt idx="3">
                  <c:v>10.3887</c:v>
                </c:pt>
                <c:pt idx="4">
                  <c:v>12.5609</c:v>
                </c:pt>
                <c:pt idx="5">
                  <c:v>19.062100000000001</c:v>
                </c:pt>
                <c:pt idx="6">
                  <c:v>21.507999999999999</c:v>
                </c:pt>
                <c:pt idx="7">
                  <c:v>22.722999999999999</c:v>
                </c:pt>
                <c:pt idx="8">
                  <c:v>34.990099999999998</c:v>
                </c:pt>
                <c:pt idx="9">
                  <c:v>44.006599999999999</c:v>
                </c:pt>
                <c:pt idx="10">
                  <c:v>18.662094041814726</c:v>
                </c:pt>
                <c:pt idx="11">
                  <c:v>11.730819178224507</c:v>
                </c:pt>
                <c:pt idx="12">
                  <c:v>7.4526433898752567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F-47AE-B261-8493475C8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810559"/>
        <c:axId val="673808063"/>
      </c:lineChart>
      <c:catAx>
        <c:axId val="6738105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673808063"/>
        <c:crosses val="autoZero"/>
        <c:auto val="1"/>
        <c:lblAlgn val="ctr"/>
        <c:lblOffset val="100"/>
        <c:noMultiLvlLbl val="0"/>
      </c:catAx>
      <c:valAx>
        <c:axId val="673808063"/>
        <c:scaling>
          <c:orientation val="minMax"/>
        </c:scaling>
        <c:delete val="0"/>
        <c:axPos val="l"/>
        <c:numFmt formatCode="#,##0_ 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rgbClr val="000000"/>
                </a:solidFill>
                <a:latin typeface="Yoon 윤고딕 530_TT"/>
                <a:ea typeface="Yoon 윤고딕 530_TT"/>
                <a:cs typeface="Yoon 윤고딕 530_TT"/>
              </a:defRPr>
            </a:pPr>
            <a:endParaRPr lang="ko-KR"/>
          </a:p>
        </c:txPr>
        <c:crossAx val="673810559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pattFill>
                <a:fgClr>
                  <a:srgbClr val="FFFFFF"/>
                </a:fgClr>
                <a:bgClr>
                  <a:srgbClr val="FFFFFF"/>
                </a:bgClr>
              </a:patt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/>
      <c:overlay val="1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>
          <a:solidFill>
            <a:srgbClr val="000000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9</xdr:col>
      <xdr:colOff>561600</xdr:colOff>
      <xdr:row>14</xdr:row>
      <xdr:rowOff>147000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18</xdr:row>
      <xdr:rowOff>57150</xdr:rowOff>
    </xdr:from>
    <xdr:to>
      <xdr:col>5</xdr:col>
      <xdr:colOff>155850</xdr:colOff>
      <xdr:row>29</xdr:row>
      <xdr:rowOff>13650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504825</xdr:colOff>
      <xdr:row>18</xdr:row>
      <xdr:rowOff>152400</xdr:rowOff>
    </xdr:from>
    <xdr:to>
      <xdr:col>14</xdr:col>
      <xdr:colOff>641625</xdr:colOff>
      <xdr:row>29</xdr:row>
      <xdr:rowOff>108900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590550</xdr:colOff>
      <xdr:row>18</xdr:row>
      <xdr:rowOff>85725</xdr:rowOff>
    </xdr:from>
    <xdr:to>
      <xdr:col>10</xdr:col>
      <xdr:colOff>41550</xdr:colOff>
      <xdr:row>29</xdr:row>
      <xdr:rowOff>42225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485775</xdr:colOff>
      <xdr:row>4</xdr:row>
      <xdr:rowOff>47625</xdr:rowOff>
    </xdr:from>
    <xdr:to>
      <xdr:col>19</xdr:col>
      <xdr:colOff>361575</xdr:colOff>
      <xdr:row>15</xdr:row>
      <xdr:rowOff>4125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57150</xdr:colOff>
      <xdr:row>33</xdr:row>
      <xdr:rowOff>0</xdr:rowOff>
    </xdr:from>
    <xdr:to>
      <xdr:col>5</xdr:col>
      <xdr:colOff>193950</xdr:colOff>
      <xdr:row>43</xdr:row>
      <xdr:rowOff>147000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142875</xdr:colOff>
      <xdr:row>32</xdr:row>
      <xdr:rowOff>142875</xdr:rowOff>
    </xdr:from>
    <xdr:to>
      <xdr:col>10</xdr:col>
      <xdr:colOff>279675</xdr:colOff>
      <xdr:row>43</xdr:row>
      <xdr:rowOff>99375</xdr:rowOff>
    </xdr:to>
    <xdr:graphicFrame macro="">
      <xdr:nvGraphicFramePr>
        <xdr:cNvPr id="8" name="차트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48</xdr:row>
      <xdr:rowOff>0</xdr:rowOff>
    </xdr:from>
    <xdr:to>
      <xdr:col>5</xdr:col>
      <xdr:colOff>193950</xdr:colOff>
      <xdr:row>58</xdr:row>
      <xdr:rowOff>147000</xdr:rowOff>
    </xdr:to>
    <xdr:graphicFrame macro="">
      <xdr:nvGraphicFramePr>
        <xdr:cNvPr id="10" name="차트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142875</xdr:colOff>
      <xdr:row>47</xdr:row>
      <xdr:rowOff>142875</xdr:rowOff>
    </xdr:from>
    <xdr:to>
      <xdr:col>10</xdr:col>
      <xdr:colOff>279675</xdr:colOff>
      <xdr:row>58</xdr:row>
      <xdr:rowOff>99375</xdr:rowOff>
    </xdr:to>
    <xdr:graphicFrame macro="">
      <xdr:nvGraphicFramePr>
        <xdr:cNvPr id="11" name="차트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0.07204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00" y="38000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0.97845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917643" y="38000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0.95474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9643" y="38003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0.13906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0.95474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9643" y="38003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0.07204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200" y="38000"/>
          <a:ext cx="368499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 Mil)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0.97845</cdr:x>
      <cdr:y>0.01852</cdr:y>
    </cdr:from>
    <cdr:to>
      <cdr:x>1</cdr:x>
      <cdr:y>0.08136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917643" y="38000"/>
          <a:ext cx="13035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(%)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0.09157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000" y="38000"/>
          <a:ext cx="231730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0.95171</cdr:x>
      <cdr:y>0.02476</cdr:y>
    </cdr:from>
    <cdr:to>
      <cdr:x>1</cdr:x>
      <cdr:y>0.0876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0923" y="50800"/>
          <a:ext cx="13907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</a:t>
          </a:r>
          <a:r>
            <a:rPr lang="ko-KR" altLang="en-US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배</a:t>
          </a:r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0.09157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231730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(USD)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  <cdr:relSizeAnchor xmlns:cdr="http://schemas.openxmlformats.org/drawingml/2006/chartDrawing">
    <cdr:from>
      <cdr:x>0.95171</cdr:x>
      <cdr:y>0.02476</cdr:y>
    </cdr:from>
    <cdr:to>
      <cdr:x>1</cdr:x>
      <cdr:y>0.0876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740923" y="50800"/>
          <a:ext cx="13907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</a:t>
          </a:r>
          <a:r>
            <a:rPr lang="ko-KR" altLang="en-US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배</a:t>
          </a:r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0.0594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13907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</a:t>
          </a:r>
          <a:r>
            <a:rPr lang="ko-KR" altLang="en-US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배</a:t>
          </a:r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0.0594</cdr:x>
      <cdr:y>0.08136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97" y="38003"/>
          <a:ext cx="139077" cy="1289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(</a:t>
          </a:r>
          <a:r>
            <a:rPr lang="ko-KR" altLang="en-US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배</a:t>
          </a:r>
          <a:r>
            <a:rPr lang="en-US" altLang="ko-KR" sz="700" b="0" i="0">
              <a:solidFill>
                <a:srgbClr val="000000"/>
              </a:solidFill>
              <a:latin typeface="Yoon 윤고딕 530_TT" panose="02090603020101020101" pitchFamily="18" charset="-127"/>
              <a:ea typeface="Yoon 윤고딕 530_TT" panose="02090603020101020101" pitchFamily="18" charset="-127"/>
            </a:rPr>
            <a:t>)</a:t>
          </a:r>
          <a:endParaRPr lang="ko-KR" altLang="en-US" sz="700" b="0" i="0">
            <a:solidFill>
              <a:srgbClr val="000000"/>
            </a:solidFill>
            <a:latin typeface="Yoon 윤고딕 530_TT" panose="02090603020101020101" pitchFamily="18" charset="-127"/>
            <a:ea typeface="Yoon 윤고딕 530_TT" panose="02090603020101020101" pitchFamily="18" charset="-127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7"/>
  <sheetViews>
    <sheetView showGridLines="0" tabSelected="1" topLeftCell="A28" workbookViewId="0">
      <selection activeCell="O51" sqref="O51"/>
    </sheetView>
  </sheetViews>
  <sheetFormatPr defaultRowHeight="15" x14ac:dyDescent="0.3"/>
  <cols>
    <col min="1" max="16384" width="9" style="2"/>
  </cols>
  <sheetData>
    <row r="3" spans="2:2" x14ac:dyDescent="0.3">
      <c r="B3" s="1" t="s">
        <v>49</v>
      </c>
    </row>
    <row r="17" spans="2:8" x14ac:dyDescent="0.3">
      <c r="B17" s="1" t="s">
        <v>50</v>
      </c>
      <c r="G17" s="1" t="s">
        <v>51</v>
      </c>
    </row>
    <row r="32" spans="2:8" x14ac:dyDescent="0.3">
      <c r="B32" s="1" t="s">
        <v>52</v>
      </c>
      <c r="G32" s="1" t="s">
        <v>53</v>
      </c>
      <c r="H32" s="1"/>
    </row>
    <row r="47" spans="2:8" x14ac:dyDescent="0.3">
      <c r="B47" s="1" t="s">
        <v>121</v>
      </c>
      <c r="G47" s="1" t="s">
        <v>122</v>
      </c>
      <c r="H47" s="1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4"/>
  <sheetViews>
    <sheetView showGridLines="0" zoomScale="85" zoomScaleNormal="85" workbookViewId="0">
      <selection activeCell="C32" sqref="C32"/>
    </sheetView>
  </sheetViews>
  <sheetFormatPr defaultRowHeight="12.75" x14ac:dyDescent="0.3"/>
  <cols>
    <col min="1" max="1" width="9" style="3" customWidth="1"/>
    <col min="2" max="2" width="15" style="3" customWidth="1"/>
    <col min="3" max="4" width="22.25" style="3" bestFit="1" customWidth="1"/>
    <col min="5" max="5" width="4.875" style="4" customWidth="1"/>
    <col min="6" max="6" width="13.125" style="3" bestFit="1" customWidth="1"/>
    <col min="7" max="10" width="13.125" style="3" customWidth="1"/>
    <col min="11" max="11" width="9" style="3" bestFit="1" customWidth="1"/>
    <col min="12" max="12" width="14.625" style="3" bestFit="1" customWidth="1"/>
    <col min="13" max="15" width="8" style="3" bestFit="1" customWidth="1"/>
    <col min="16" max="16" width="9.25" style="3" customWidth="1"/>
    <col min="17" max="17" width="13.25" style="3" customWidth="1"/>
    <col min="18" max="18" width="11.5" style="3" customWidth="1"/>
    <col min="19" max="19" width="14.25" style="3" customWidth="1"/>
    <col min="20" max="26" width="9" style="5"/>
    <col min="27" max="16384" width="9" style="3"/>
  </cols>
  <sheetData>
    <row r="1" spans="2:26" ht="16.5" customHeight="1" x14ac:dyDescent="0.3"/>
    <row r="2" spans="2:26" ht="16.5" customHeight="1" x14ac:dyDescent="0.3">
      <c r="T2" s="6"/>
      <c r="U2" s="6"/>
      <c r="V2" s="6"/>
      <c r="W2" s="6"/>
      <c r="X2" s="6"/>
      <c r="Y2" s="6"/>
      <c r="Z2" s="6"/>
    </row>
    <row r="3" spans="2:26" ht="16.5" customHeight="1" x14ac:dyDescent="0.3">
      <c r="F3" s="3" t="s">
        <v>73</v>
      </c>
      <c r="G3" s="7" t="s">
        <v>74</v>
      </c>
      <c r="H3" s="3" t="s">
        <v>75</v>
      </c>
      <c r="I3" s="3" t="s">
        <v>76</v>
      </c>
    </row>
    <row r="4" spans="2:26" ht="16.5" customHeight="1" x14ac:dyDescent="0.3">
      <c r="C4" s="3" t="s">
        <v>77</v>
      </c>
      <c r="D4" s="3" t="s">
        <v>78</v>
      </c>
      <c r="F4" s="8" t="s">
        <v>71</v>
      </c>
      <c r="G4" s="7" t="s">
        <v>79</v>
      </c>
      <c r="H4" s="6">
        <v>225.83</v>
      </c>
      <c r="I4" s="8" t="s">
        <v>80</v>
      </c>
      <c r="J4" s="8"/>
    </row>
    <row r="5" spans="2:26" ht="16.5" customHeight="1" x14ac:dyDescent="0.3">
      <c r="B5" s="8"/>
      <c r="C5" s="7"/>
    </row>
    <row r="6" spans="2:26" ht="16.5" customHeight="1" x14ac:dyDescent="0.3">
      <c r="M6" s="6"/>
      <c r="N6" s="6"/>
      <c r="O6" s="6"/>
      <c r="P6" s="6"/>
      <c r="Q6" s="6" t="s">
        <v>81</v>
      </c>
      <c r="R6" s="6" t="s">
        <v>82</v>
      </c>
      <c r="S6" s="6" t="s">
        <v>83</v>
      </c>
    </row>
    <row r="7" spans="2:26" ht="16.5" customHeight="1" x14ac:dyDescent="0.3">
      <c r="C7" s="6" t="s">
        <v>84</v>
      </c>
      <c r="E7" s="6"/>
      <c r="F7" s="7"/>
      <c r="G7" s="7"/>
      <c r="H7" s="7"/>
      <c r="I7" s="7"/>
      <c r="J7" s="7"/>
      <c r="K7" s="7"/>
      <c r="L7" s="7"/>
    </row>
    <row r="8" spans="2:26" ht="16.5" customHeight="1" thickBot="1" x14ac:dyDescent="0.35">
      <c r="B8" s="9"/>
      <c r="C8" s="9"/>
      <c r="D8" s="9"/>
      <c r="E8" s="10"/>
      <c r="F8" s="9"/>
      <c r="G8" s="9" t="s">
        <v>85</v>
      </c>
      <c r="H8" s="9" t="s">
        <v>86</v>
      </c>
      <c r="I8" s="9" t="s">
        <v>63</v>
      </c>
      <c r="J8" s="9" t="s">
        <v>64</v>
      </c>
      <c r="K8" s="9" t="s">
        <v>65</v>
      </c>
      <c r="L8" s="9" t="s">
        <v>66</v>
      </c>
      <c r="M8" s="9" t="s">
        <v>67</v>
      </c>
      <c r="N8" s="9" t="s">
        <v>68</v>
      </c>
      <c r="O8" s="9" t="s">
        <v>69</v>
      </c>
      <c r="P8" s="9" t="s">
        <v>70</v>
      </c>
      <c r="Q8" s="9"/>
      <c r="R8" s="9"/>
      <c r="S8" s="9"/>
      <c r="T8" s="11"/>
      <c r="U8" s="12"/>
      <c r="V8" s="11"/>
      <c r="W8" s="11"/>
      <c r="X8" s="11"/>
      <c r="Y8" s="11"/>
      <c r="Z8" s="11"/>
    </row>
    <row r="9" spans="2:26" ht="16.5" customHeight="1" thickTop="1" thickBot="1" x14ac:dyDescent="0.35">
      <c r="B9" s="9"/>
      <c r="C9" s="9"/>
      <c r="D9" s="9"/>
      <c r="E9" s="10"/>
      <c r="F9" s="13" t="s">
        <v>0</v>
      </c>
      <c r="G9" s="14">
        <v>2016</v>
      </c>
      <c r="H9" s="14">
        <v>2017</v>
      </c>
      <c r="I9" s="14">
        <v>2018</v>
      </c>
      <c r="J9" s="14">
        <v>2019</v>
      </c>
      <c r="K9" s="14">
        <v>2020</v>
      </c>
      <c r="L9" s="14">
        <v>2021</v>
      </c>
      <c r="M9" s="14">
        <v>2022</v>
      </c>
      <c r="N9" s="14">
        <v>2023</v>
      </c>
      <c r="O9" s="15">
        <v>2024</v>
      </c>
      <c r="P9" s="13">
        <v>2025</v>
      </c>
      <c r="Q9" s="15" t="s">
        <v>87</v>
      </c>
      <c r="R9" s="15" t="s">
        <v>88</v>
      </c>
      <c r="S9" s="15" t="s">
        <v>89</v>
      </c>
      <c r="T9" s="16"/>
      <c r="U9" s="17"/>
      <c r="V9" s="16"/>
      <c r="W9" s="16"/>
      <c r="X9" s="16"/>
      <c r="Y9" s="16"/>
      <c r="Z9" s="16"/>
    </row>
    <row r="10" spans="2:26" ht="18" customHeight="1" x14ac:dyDescent="0.3">
      <c r="C10" s="8" t="s">
        <v>7</v>
      </c>
      <c r="D10" s="8" t="s">
        <v>90</v>
      </c>
      <c r="E10" s="8"/>
      <c r="F10" s="18" t="s">
        <v>1</v>
      </c>
      <c r="G10" s="19">
        <v>5010</v>
      </c>
      <c r="H10" s="19">
        <v>6910</v>
      </c>
      <c r="I10" s="19">
        <v>9714</v>
      </c>
      <c r="J10" s="19">
        <v>11716</v>
      </c>
      <c r="K10" s="19">
        <v>10918</v>
      </c>
      <c r="L10" s="19">
        <v>16675</v>
      </c>
      <c r="M10" s="19">
        <v>26914</v>
      </c>
      <c r="N10" s="19">
        <v>26974</v>
      </c>
      <c r="O10" s="20">
        <v>60922</v>
      </c>
      <c r="P10" s="21">
        <v>130497</v>
      </c>
      <c r="Q10" s="22">
        <v>369689.7910447761</v>
      </c>
      <c r="R10" s="22">
        <v>489692.671875</v>
      </c>
      <c r="S10" s="22">
        <v>591813.23529411771</v>
      </c>
      <c r="T10" s="23"/>
      <c r="U10" s="24"/>
      <c r="V10" s="23"/>
      <c r="W10" s="23"/>
      <c r="X10" s="23"/>
      <c r="Y10" s="23"/>
      <c r="Z10" s="23"/>
    </row>
    <row r="11" spans="2:26" ht="18" customHeight="1" x14ac:dyDescent="0.3">
      <c r="B11" s="8"/>
      <c r="C11" s="8"/>
      <c r="D11" s="8"/>
      <c r="E11" s="8"/>
      <c r="F11" s="25" t="s">
        <v>91</v>
      </c>
      <c r="G11" s="26">
        <v>2179</v>
      </c>
      <c r="H11" s="26">
        <v>2837</v>
      </c>
      <c r="I11" s="26">
        <v>3891</v>
      </c>
      <c r="J11" s="26">
        <v>4510</v>
      </c>
      <c r="K11" s="26">
        <v>4136</v>
      </c>
      <c r="L11" s="26">
        <v>5816</v>
      </c>
      <c r="M11" s="26">
        <v>9086</v>
      </c>
      <c r="N11" s="26">
        <v>11147</v>
      </c>
      <c r="O11" s="27">
        <v>16104</v>
      </c>
      <c r="P11" s="28">
        <v>32170</v>
      </c>
      <c r="Q11" s="29">
        <v>93731.149621492543</v>
      </c>
      <c r="R11" s="29">
        <v>126306.43085671874</v>
      </c>
      <c r="S11" s="29">
        <v>159712.63780882349</v>
      </c>
      <c r="T11" s="23"/>
      <c r="U11" s="23"/>
      <c r="V11" s="23"/>
      <c r="W11" s="23"/>
      <c r="X11" s="23"/>
      <c r="Y11" s="23"/>
      <c r="Z11" s="23"/>
    </row>
    <row r="12" spans="2:26" ht="18" customHeight="1" x14ac:dyDescent="0.3">
      <c r="B12" s="8"/>
      <c r="C12" s="8"/>
      <c r="D12" s="8"/>
      <c r="E12" s="8"/>
      <c r="F12" s="25" t="s">
        <v>92</v>
      </c>
      <c r="G12" s="26">
        <v>43.493013972055891</v>
      </c>
      <c r="H12" s="26">
        <v>41.056439942112881</v>
      </c>
      <c r="I12" s="26">
        <v>40.055589870290305</v>
      </c>
      <c r="J12" s="26">
        <v>38.494366678047115</v>
      </c>
      <c r="K12" s="26">
        <v>37.88239604323136</v>
      </c>
      <c r="L12" s="26">
        <v>34.878560719640177</v>
      </c>
      <c r="M12" s="26">
        <v>33.759381734413317</v>
      </c>
      <c r="N12" s="26">
        <v>41.324979609994813</v>
      </c>
      <c r="O12" s="27">
        <v>26.433800597485309</v>
      </c>
      <c r="P12" s="28">
        <v>24.651907706690576</v>
      </c>
      <c r="Q12" s="29">
        <v>25.354000000000003</v>
      </c>
      <c r="R12" s="29">
        <v>25.792999999999999</v>
      </c>
      <c r="S12" s="29">
        <v>26.986999999999988</v>
      </c>
      <c r="T12" s="23"/>
      <c r="U12" s="23"/>
      <c r="V12" s="23"/>
      <c r="W12" s="23"/>
      <c r="X12" s="23"/>
      <c r="Y12" s="23"/>
      <c r="Z12" s="23"/>
    </row>
    <row r="13" spans="2:26" ht="18" customHeight="1" x14ac:dyDescent="0.3">
      <c r="B13" s="8"/>
      <c r="C13" s="8" t="s">
        <v>93</v>
      </c>
      <c r="D13" s="8"/>
      <c r="E13" s="8"/>
      <c r="F13" s="25" t="s">
        <v>94</v>
      </c>
      <c r="G13" s="26">
        <v>2831</v>
      </c>
      <c r="H13" s="26">
        <v>4073</v>
      </c>
      <c r="I13" s="26">
        <v>5823</v>
      </c>
      <c r="J13" s="26">
        <v>7206</v>
      </c>
      <c r="K13" s="26">
        <v>6782</v>
      </c>
      <c r="L13" s="26">
        <v>10859</v>
      </c>
      <c r="M13" s="26">
        <v>17828</v>
      </c>
      <c r="N13" s="26">
        <v>15827</v>
      </c>
      <c r="O13" s="27">
        <v>44818</v>
      </c>
      <c r="P13" s="28">
        <v>98327</v>
      </c>
      <c r="Q13" s="29">
        <v>275958.64142328355</v>
      </c>
      <c r="R13" s="29">
        <v>363386.24101828126</v>
      </c>
      <c r="S13" s="29">
        <v>432100.59748529422</v>
      </c>
      <c r="T13" s="23"/>
      <c r="U13" s="23"/>
      <c r="V13" s="23"/>
      <c r="W13" s="23"/>
      <c r="X13" s="23"/>
      <c r="Y13" s="23"/>
      <c r="Z13" s="23"/>
    </row>
    <row r="14" spans="2:26" ht="18" customHeight="1" x14ac:dyDescent="0.3">
      <c r="B14" s="8"/>
      <c r="D14" s="8" t="s">
        <v>95</v>
      </c>
      <c r="E14" s="8"/>
      <c r="F14" s="25" t="s">
        <v>96</v>
      </c>
      <c r="G14" s="30">
        <v>56.506986027944116</v>
      </c>
      <c r="H14" s="30">
        <v>58.943560057887126</v>
      </c>
      <c r="I14" s="30">
        <v>59.944410129709702</v>
      </c>
      <c r="J14" s="30">
        <v>61.505633321952878</v>
      </c>
      <c r="K14" s="30">
        <v>62.11760395676864</v>
      </c>
      <c r="L14" s="30">
        <v>65.121439280359823</v>
      </c>
      <c r="M14" s="30">
        <v>66.240618265586676</v>
      </c>
      <c r="N14" s="30">
        <v>58.675020390005194</v>
      </c>
      <c r="O14" s="31">
        <v>73.566199402514684</v>
      </c>
      <c r="P14" s="32">
        <v>75.348092293309421</v>
      </c>
      <c r="Q14" s="33">
        <v>74.646000000000001</v>
      </c>
      <c r="R14" s="33">
        <v>74.207000000000008</v>
      </c>
      <c r="S14" s="33">
        <v>73.013000000000005</v>
      </c>
      <c r="T14" s="23"/>
      <c r="U14" s="23"/>
      <c r="V14" s="23"/>
      <c r="W14" s="23"/>
      <c r="X14" s="23"/>
      <c r="Y14" s="23"/>
      <c r="Z14" s="23"/>
    </row>
    <row r="15" spans="2:26" ht="18" customHeight="1" x14ac:dyDescent="0.3">
      <c r="B15" s="8"/>
      <c r="C15" s="8" t="s">
        <v>8</v>
      </c>
      <c r="D15" s="8" t="s">
        <v>97</v>
      </c>
      <c r="E15" s="8"/>
      <c r="F15" s="25" t="s">
        <v>98</v>
      </c>
      <c r="G15" s="34">
        <v>968</v>
      </c>
      <c r="H15" s="34">
        <v>1953</v>
      </c>
      <c r="I15" s="34">
        <v>3224</v>
      </c>
      <c r="J15" s="34">
        <v>3850</v>
      </c>
      <c r="K15" s="34">
        <v>2891</v>
      </c>
      <c r="L15" s="34">
        <v>5406</v>
      </c>
      <c r="M15" s="34">
        <v>11030</v>
      </c>
      <c r="N15" s="34">
        <v>6328</v>
      </c>
      <c r="O15" s="35">
        <v>33595</v>
      </c>
      <c r="P15" s="36">
        <v>82052</v>
      </c>
      <c r="Q15" s="29">
        <v>244897.30909090908</v>
      </c>
      <c r="R15" s="29">
        <v>327349.88888888893</v>
      </c>
      <c r="S15" s="29">
        <v>366304.81481481483</v>
      </c>
      <c r="T15" s="23"/>
      <c r="U15" s="23"/>
      <c r="V15" s="23"/>
      <c r="W15" s="23"/>
      <c r="X15" s="23"/>
      <c r="Y15" s="23"/>
      <c r="Z15" s="23"/>
    </row>
    <row r="16" spans="2:26" ht="18" customHeight="1" x14ac:dyDescent="0.3">
      <c r="B16" s="8"/>
      <c r="C16" s="8"/>
      <c r="D16" s="8"/>
      <c r="E16" s="8"/>
      <c r="F16" s="25" t="s">
        <v>99</v>
      </c>
      <c r="G16" s="37">
        <v>19.321357285429141</v>
      </c>
      <c r="H16" s="37">
        <v>28.263386396526773</v>
      </c>
      <c r="I16" s="37">
        <v>33.189211447395515</v>
      </c>
      <c r="J16" s="37">
        <v>32.861044725162166</v>
      </c>
      <c r="K16" s="37">
        <v>26.479208646272212</v>
      </c>
      <c r="L16" s="37">
        <v>32.419790104947523</v>
      </c>
      <c r="M16" s="37">
        <v>40.982388348071638</v>
      </c>
      <c r="N16" s="37">
        <v>23.459627789723434</v>
      </c>
      <c r="O16" s="38">
        <v>55.144282853484782</v>
      </c>
      <c r="P16" s="39">
        <v>62.87654122316988</v>
      </c>
      <c r="Q16" s="33">
        <v>66.244001057970138</v>
      </c>
      <c r="R16" s="33">
        <v>66.848026872750296</v>
      </c>
      <c r="S16" s="33">
        <v>61.895340112285538</v>
      </c>
      <c r="T16" s="23"/>
      <c r="U16" s="23"/>
      <c r="V16" s="23"/>
      <c r="W16" s="23"/>
      <c r="X16" s="23"/>
      <c r="Y16" s="23"/>
      <c r="Z16" s="23"/>
    </row>
    <row r="17" spans="2:26" ht="18" customHeight="1" x14ac:dyDescent="0.3">
      <c r="B17" s="8"/>
      <c r="C17" s="8" t="s">
        <v>100</v>
      </c>
      <c r="D17" s="8" t="s">
        <v>101</v>
      </c>
      <c r="E17" s="8"/>
      <c r="F17" s="25" t="s">
        <v>100</v>
      </c>
      <c r="G17" s="34">
        <v>1165</v>
      </c>
      <c r="H17" s="34">
        <v>2140</v>
      </c>
      <c r="I17" s="34">
        <v>3423</v>
      </c>
      <c r="J17" s="34">
        <v>4112</v>
      </c>
      <c r="K17" s="34">
        <v>3386</v>
      </c>
      <c r="L17" s="34">
        <v>6649</v>
      </c>
      <c r="M17" s="34">
        <v>12372</v>
      </c>
      <c r="N17" s="34">
        <v>8065</v>
      </c>
      <c r="O17" s="35">
        <v>35372</v>
      </c>
      <c r="P17" s="36">
        <v>84272</v>
      </c>
      <c r="Q17" s="29">
        <v>245799.10810810811</v>
      </c>
      <c r="R17" s="29">
        <v>322341.2432432432</v>
      </c>
      <c r="S17" s="29">
        <v>385864.36842105264</v>
      </c>
      <c r="T17" s="23"/>
      <c r="U17" s="23"/>
      <c r="V17" s="23"/>
      <c r="W17" s="23"/>
      <c r="X17" s="23"/>
      <c r="Y17" s="23"/>
      <c r="Z17" s="23"/>
    </row>
    <row r="18" spans="2:26" ht="18" customHeight="1" x14ac:dyDescent="0.3">
      <c r="B18" s="8"/>
      <c r="C18" s="8"/>
      <c r="D18" s="8"/>
      <c r="E18" s="8"/>
      <c r="F18" s="25" t="s">
        <v>102</v>
      </c>
      <c r="G18" s="37">
        <v>23.253493013972058</v>
      </c>
      <c r="H18" s="37">
        <v>30.969609261939219</v>
      </c>
      <c r="I18" s="37">
        <v>35.23780111179741</v>
      </c>
      <c r="J18" s="37">
        <v>35.097302833731646</v>
      </c>
      <c r="K18" s="37">
        <v>31.013006045063197</v>
      </c>
      <c r="L18" s="37">
        <v>39.874062968515744</v>
      </c>
      <c r="M18" s="37">
        <v>45.968640856060041</v>
      </c>
      <c r="N18" s="37">
        <v>29.899162156150368</v>
      </c>
      <c r="O18" s="38">
        <v>58.061127343160102</v>
      </c>
      <c r="P18" s="39">
        <v>64.577729756239606</v>
      </c>
      <c r="Q18" s="33">
        <v>66.487935036955719</v>
      </c>
      <c r="R18" s="33">
        <v>65.825212782748096</v>
      </c>
      <c r="S18" s="33">
        <v>65.200361433161731</v>
      </c>
      <c r="T18" s="23"/>
      <c r="U18" s="23"/>
      <c r="V18" s="23"/>
      <c r="W18" s="23"/>
      <c r="X18" s="23"/>
      <c r="Y18" s="23"/>
      <c r="Z18" s="23"/>
    </row>
    <row r="19" spans="2:26" ht="18" customHeight="1" x14ac:dyDescent="0.3">
      <c r="B19" s="8"/>
      <c r="C19" s="8" t="s">
        <v>40</v>
      </c>
      <c r="D19" s="8" t="s">
        <v>41</v>
      </c>
      <c r="E19" s="8"/>
      <c r="F19" s="25" t="s">
        <v>103</v>
      </c>
      <c r="G19" s="34">
        <v>17.3873</v>
      </c>
      <c r="H19" s="34">
        <v>32.9634</v>
      </c>
      <c r="I19" s="34">
        <v>44.084400000000002</v>
      </c>
      <c r="J19" s="34">
        <v>44.880600000000001</v>
      </c>
      <c r="K19" s="34">
        <v>26.329799999999999</v>
      </c>
      <c r="L19" s="34">
        <v>34.912300000000002</v>
      </c>
      <c r="M19" s="34">
        <v>46.355499999999999</v>
      </c>
      <c r="N19" s="34">
        <v>25.184699999999999</v>
      </c>
      <c r="O19" s="35">
        <v>92.227800000000002</v>
      </c>
      <c r="P19" s="36">
        <v>118.95099999999999</v>
      </c>
      <c r="Q19" s="29">
        <v>83.353000000000009</v>
      </c>
      <c r="R19" s="29">
        <v>65.778999999999996</v>
      </c>
      <c r="S19" s="29">
        <v>48.106999999999999</v>
      </c>
      <c r="T19" s="23"/>
      <c r="U19" s="23"/>
      <c r="V19" s="23"/>
      <c r="W19" s="23"/>
      <c r="X19" s="23"/>
      <c r="Y19" s="23"/>
      <c r="Z19" s="23"/>
    </row>
    <row r="20" spans="2:26" ht="18" customHeight="1" x14ac:dyDescent="0.3">
      <c r="B20" s="8"/>
      <c r="C20" s="8" t="s">
        <v>9</v>
      </c>
      <c r="D20" s="8" t="s">
        <v>104</v>
      </c>
      <c r="E20" s="8"/>
      <c r="F20" s="25" t="s">
        <v>105</v>
      </c>
      <c r="G20" s="34">
        <v>772.60299999999995</v>
      </c>
      <c r="H20" s="34">
        <v>1686.2431999999999</v>
      </c>
      <c r="I20" s="34">
        <v>2916.8411000000001</v>
      </c>
      <c r="J20" s="34">
        <v>3772.8845999999999</v>
      </c>
      <c r="K20" s="34">
        <v>2836.509</v>
      </c>
      <c r="L20" s="34">
        <v>5079.2160000000003</v>
      </c>
      <c r="M20" s="34">
        <v>10083.4874</v>
      </c>
      <c r="N20" s="34">
        <v>6134.1017000000002</v>
      </c>
      <c r="O20" s="35">
        <v>30010.474900000001</v>
      </c>
      <c r="P20" s="36">
        <v>72741.5</v>
      </c>
      <c r="Q20" s="29">
        <v>203998.07699999999</v>
      </c>
      <c r="R20" s="29">
        <v>271657.96000000002</v>
      </c>
      <c r="S20" s="29">
        <v>307361.22200000001</v>
      </c>
      <c r="T20" s="23"/>
      <c r="U20" s="23"/>
      <c r="V20" s="23"/>
      <c r="W20" s="23"/>
      <c r="X20" s="23"/>
      <c r="Y20" s="23"/>
      <c r="Z20" s="23"/>
    </row>
    <row r="21" spans="2:26" ht="18" customHeight="1" thickBot="1" x14ac:dyDescent="0.35">
      <c r="B21" s="8"/>
      <c r="C21" s="10"/>
      <c r="D21" s="10"/>
      <c r="E21" s="10"/>
      <c r="F21" s="40" t="s">
        <v>106</v>
      </c>
      <c r="G21" s="41">
        <v>15.421217564870259</v>
      </c>
      <c r="H21" s="41">
        <v>24.40294066570188</v>
      </c>
      <c r="I21" s="41">
        <v>30.027188593782171</v>
      </c>
      <c r="J21" s="41">
        <v>32.202838852850803</v>
      </c>
      <c r="K21" s="41">
        <v>25.98011540575197</v>
      </c>
      <c r="L21" s="41">
        <v>30.46006596701649</v>
      </c>
      <c r="M21" s="41">
        <v>37.465584454187415</v>
      </c>
      <c r="N21" s="41">
        <v>22.740793727292949</v>
      </c>
      <c r="O21" s="42">
        <v>49.260488657627789</v>
      </c>
      <c r="P21" s="43">
        <v>55.741894449680842</v>
      </c>
      <c r="Q21" s="44">
        <v>55.180879196983867</v>
      </c>
      <c r="R21" s="44">
        <v>55.475194055863675</v>
      </c>
      <c r="S21" s="44">
        <v>51.935510000422425</v>
      </c>
      <c r="T21" s="45"/>
      <c r="U21" s="45"/>
      <c r="V21" s="45"/>
      <c r="W21" s="45"/>
      <c r="X21" s="45"/>
      <c r="Y21" s="45"/>
      <c r="Z21" s="45"/>
    </row>
    <row r="22" spans="2:26" ht="18" customHeight="1" thickTop="1" thickBot="1" x14ac:dyDescent="0.35">
      <c r="B22" s="8"/>
      <c r="C22" s="10"/>
      <c r="D22" s="10"/>
      <c r="E22" s="10"/>
      <c r="F22" s="13" t="s">
        <v>107</v>
      </c>
      <c r="G22" s="14">
        <v>2016</v>
      </c>
      <c r="H22" s="14">
        <v>2017</v>
      </c>
      <c r="I22" s="14">
        <v>2018</v>
      </c>
      <c r="J22" s="14">
        <v>2019</v>
      </c>
      <c r="K22" s="14">
        <v>2020</v>
      </c>
      <c r="L22" s="14">
        <v>2021</v>
      </c>
      <c r="M22" s="14">
        <v>2022</v>
      </c>
      <c r="N22" s="14">
        <v>2023</v>
      </c>
      <c r="O22" s="15">
        <v>2024</v>
      </c>
      <c r="P22" s="13">
        <v>2025</v>
      </c>
      <c r="Q22" s="15" t="s">
        <v>87</v>
      </c>
      <c r="R22" s="15" t="s">
        <v>88</v>
      </c>
      <c r="S22" s="15" t="s">
        <v>89</v>
      </c>
      <c r="T22" s="16"/>
      <c r="U22" s="16"/>
      <c r="V22" s="16"/>
      <c r="W22" s="16"/>
      <c r="X22" s="16"/>
      <c r="Y22" s="16"/>
      <c r="Z22" s="16"/>
    </row>
    <row r="23" spans="2:26" ht="18" customHeight="1" x14ac:dyDescent="0.3">
      <c r="B23" s="8"/>
      <c r="C23" s="10"/>
      <c r="D23" s="10"/>
      <c r="E23" s="10"/>
      <c r="F23" s="25" t="s">
        <v>1</v>
      </c>
      <c r="G23" s="66"/>
      <c r="H23" s="19">
        <v>37.924151696606792</v>
      </c>
      <c r="I23" s="19">
        <v>40.578871201157753</v>
      </c>
      <c r="J23" s="19">
        <v>20.609429689108506</v>
      </c>
      <c r="K23" s="19">
        <v>-6.8111983612154319</v>
      </c>
      <c r="L23" s="19">
        <v>52.729437625938822</v>
      </c>
      <c r="M23" s="19">
        <v>61.403298350824585</v>
      </c>
      <c r="N23" s="19">
        <v>0.22293230289069932</v>
      </c>
      <c r="O23" s="20">
        <v>125.85452658115224</v>
      </c>
      <c r="P23" s="21">
        <v>114.20340763599354</v>
      </c>
      <c r="Q23" s="46">
        <v>506.8247776579496</v>
      </c>
      <c r="R23" s="46">
        <v>32.460425940106475</v>
      </c>
      <c r="S23" s="46">
        <v>20.854010951012402</v>
      </c>
      <c r="T23" s="45"/>
      <c r="U23" s="45"/>
      <c r="V23" s="45"/>
      <c r="W23" s="45"/>
      <c r="X23" s="45"/>
      <c r="Y23" s="45"/>
      <c r="Z23" s="45"/>
    </row>
    <row r="24" spans="2:26" ht="18" customHeight="1" x14ac:dyDescent="0.3">
      <c r="B24" s="8"/>
      <c r="C24" s="10"/>
      <c r="D24" s="10"/>
      <c r="E24" s="10"/>
      <c r="F24" s="25" t="s">
        <v>94</v>
      </c>
      <c r="G24" s="66"/>
      <c r="H24" s="47">
        <v>43.871423525256105</v>
      </c>
      <c r="I24" s="47">
        <v>42.965872821016447</v>
      </c>
      <c r="J24" s="47">
        <v>23.750643997939203</v>
      </c>
      <c r="K24" s="47">
        <v>-5.8839855675825721</v>
      </c>
      <c r="L24" s="47">
        <v>60.115010321439108</v>
      </c>
      <c r="M24" s="47">
        <v>64.177180219173053</v>
      </c>
      <c r="N24" s="47">
        <v>-11.223917433251064</v>
      </c>
      <c r="O24" s="48">
        <v>183.17432236052315</v>
      </c>
      <c r="P24" s="49">
        <v>119.39176223838635</v>
      </c>
      <c r="Q24" s="46">
        <v>515.73171811165946</v>
      </c>
      <c r="R24" s="46">
        <v>31.681413977138504</v>
      </c>
      <c r="S24" s="46">
        <v>18.909454654766655</v>
      </c>
      <c r="T24" s="45"/>
      <c r="U24" s="45"/>
      <c r="V24" s="45"/>
      <c r="W24" s="45"/>
      <c r="X24" s="45"/>
      <c r="Y24" s="45"/>
      <c r="Z24" s="45"/>
    </row>
    <row r="25" spans="2:26" ht="18" customHeight="1" x14ac:dyDescent="0.3">
      <c r="B25" s="8"/>
      <c r="C25" s="10"/>
      <c r="D25" s="10"/>
      <c r="E25" s="10"/>
      <c r="F25" s="25" t="s">
        <v>98</v>
      </c>
      <c r="G25" s="66"/>
      <c r="H25" s="47">
        <v>101.75619834710746</v>
      </c>
      <c r="I25" s="47">
        <v>65.079365079365076</v>
      </c>
      <c r="J25" s="47">
        <v>19.416873449131522</v>
      </c>
      <c r="K25" s="47">
        <v>-24.909090909090914</v>
      </c>
      <c r="L25" s="47">
        <v>86.994119681771025</v>
      </c>
      <c r="M25" s="47">
        <v>104.03255641879392</v>
      </c>
      <c r="N25" s="47">
        <v>-42.629193109700815</v>
      </c>
      <c r="O25" s="50">
        <v>430.89443742098609</v>
      </c>
      <c r="P25" s="51">
        <v>144.238726000893</v>
      </c>
      <c r="Q25" s="46">
        <v>628.96951656767101</v>
      </c>
      <c r="R25" s="46">
        <v>33.668226124678391</v>
      </c>
      <c r="S25" s="46">
        <v>11.900088329997338</v>
      </c>
      <c r="T25" s="45"/>
      <c r="U25" s="45"/>
      <c r="V25" s="45"/>
      <c r="W25" s="45"/>
      <c r="X25" s="45"/>
      <c r="Y25" s="45"/>
      <c r="Z25" s="45"/>
    </row>
    <row r="26" spans="2:26" ht="18" customHeight="1" x14ac:dyDescent="0.3">
      <c r="B26" s="8"/>
      <c r="C26" s="10"/>
      <c r="D26" s="10"/>
      <c r="E26" s="10"/>
      <c r="F26" s="25" t="s">
        <v>100</v>
      </c>
      <c r="G26" s="66"/>
      <c r="H26" s="47">
        <v>83.690987124463518</v>
      </c>
      <c r="I26" s="47">
        <v>59.953271028037378</v>
      </c>
      <c r="J26" s="47">
        <v>20.128542214431789</v>
      </c>
      <c r="K26" s="47">
        <v>-17.655642023346307</v>
      </c>
      <c r="L26" s="47">
        <v>96.367395156526882</v>
      </c>
      <c r="M26" s="47">
        <v>86.073093698300497</v>
      </c>
      <c r="N26" s="47">
        <v>-34.812479793081152</v>
      </c>
      <c r="O26" s="50">
        <v>338.58648481091132</v>
      </c>
      <c r="P26" s="51">
        <v>138.24493950016961</v>
      </c>
      <c r="Q26" s="46">
        <v>191.67351920935553</v>
      </c>
      <c r="R26" s="46">
        <v>31.140119150257494</v>
      </c>
      <c r="S26" s="46">
        <v>19.706794122486528</v>
      </c>
      <c r="T26" s="45"/>
      <c r="U26" s="45"/>
      <c r="V26" s="45"/>
      <c r="W26" s="45"/>
      <c r="X26" s="45"/>
      <c r="Y26" s="45"/>
      <c r="Z26" s="45"/>
    </row>
    <row r="27" spans="2:26" ht="18" customHeight="1" thickBot="1" x14ac:dyDescent="0.35">
      <c r="B27" s="52"/>
      <c r="C27" s="10"/>
      <c r="D27" s="10"/>
      <c r="E27" s="10"/>
      <c r="F27" s="53" t="s">
        <v>105</v>
      </c>
      <c r="G27" s="67"/>
      <c r="H27" s="54">
        <v>118.25480874394741</v>
      </c>
      <c r="I27" s="54">
        <v>72.978672352837364</v>
      </c>
      <c r="J27" s="54">
        <v>29.348307660640117</v>
      </c>
      <c r="K27" s="54">
        <v>-24.818559253044736</v>
      </c>
      <c r="L27" s="54">
        <v>79.065745957442772</v>
      </c>
      <c r="M27" s="54">
        <v>98.524484881131258</v>
      </c>
      <c r="N27" s="54">
        <v>-39.166863043831448</v>
      </c>
      <c r="O27" s="55">
        <v>389.23993059978119</v>
      </c>
      <c r="P27" s="56">
        <v>142.38703400191775</v>
      </c>
      <c r="Q27" s="57">
        <v>579.75624404397536</v>
      </c>
      <c r="R27" s="57">
        <v>33.16692196073987</v>
      </c>
      <c r="S27" s="57">
        <v>13.142726242956403</v>
      </c>
      <c r="T27" s="45"/>
      <c r="U27" s="45"/>
      <c r="V27" s="45"/>
      <c r="W27" s="45"/>
      <c r="X27" s="45"/>
      <c r="Y27" s="45"/>
      <c r="Z27" s="45"/>
    </row>
    <row r="28" spans="2:26" ht="18" customHeight="1" thickTop="1" thickBot="1" x14ac:dyDescent="0.35">
      <c r="B28" s="52"/>
      <c r="C28" s="8"/>
      <c r="E28" s="8"/>
      <c r="F28" s="58" t="s">
        <v>108</v>
      </c>
      <c r="G28" s="14">
        <v>2016</v>
      </c>
      <c r="H28" s="14">
        <v>2017</v>
      </c>
      <c r="I28" s="14">
        <v>2018</v>
      </c>
      <c r="J28" s="14">
        <v>2019</v>
      </c>
      <c r="K28" s="59">
        <v>2020</v>
      </c>
      <c r="L28" s="59">
        <v>2021</v>
      </c>
      <c r="M28" s="59">
        <v>2022</v>
      </c>
      <c r="N28" s="59">
        <v>2023</v>
      </c>
      <c r="O28" s="59">
        <v>2024</v>
      </c>
      <c r="P28" s="58">
        <v>2025</v>
      </c>
      <c r="Q28" s="59" t="s">
        <v>87</v>
      </c>
      <c r="R28" s="59" t="s">
        <v>88</v>
      </c>
      <c r="S28" s="59" t="s">
        <v>89</v>
      </c>
      <c r="T28" s="11"/>
      <c r="U28" s="11"/>
      <c r="V28" s="11"/>
      <c r="W28" s="11"/>
      <c r="X28" s="11"/>
      <c r="Y28" s="11"/>
      <c r="Z28" s="11"/>
    </row>
    <row r="29" spans="2:26" ht="18" customHeight="1" thickTop="1" x14ac:dyDescent="0.3">
      <c r="B29" s="52"/>
      <c r="C29" s="8" t="s">
        <v>36</v>
      </c>
      <c r="D29" s="7" t="s">
        <v>109</v>
      </c>
      <c r="E29" s="8"/>
      <c r="F29" s="25" t="s">
        <v>110</v>
      </c>
      <c r="G29" s="60">
        <v>3.4000000000000002E-2</v>
      </c>
      <c r="H29" s="61">
        <v>6.5000000000000002E-2</v>
      </c>
      <c r="I29" s="61">
        <v>0.1154</v>
      </c>
      <c r="J29" s="61">
        <v>0.151</v>
      </c>
      <c r="K29" s="61">
        <v>0.11459999999999999</v>
      </c>
      <c r="L29" s="61">
        <v>0.20280000000000001</v>
      </c>
      <c r="M29" s="61">
        <v>0.39810000000000001</v>
      </c>
      <c r="N29" s="61">
        <v>0.24440000000000001</v>
      </c>
      <c r="O29" s="62">
        <v>1.2030000000000001</v>
      </c>
      <c r="P29" s="63">
        <v>2.9344000000000001</v>
      </c>
      <c r="Q29" s="75">
        <v>8.41</v>
      </c>
      <c r="R29" s="64">
        <v>11.375</v>
      </c>
      <c r="S29" s="64">
        <v>12.958</v>
      </c>
      <c r="T29" s="11"/>
      <c r="U29" s="11"/>
      <c r="V29" s="11"/>
      <c r="W29" s="11"/>
      <c r="X29" s="11"/>
      <c r="Y29" s="11"/>
      <c r="Z29" s="11"/>
    </row>
    <row r="30" spans="2:26" ht="18" customHeight="1" x14ac:dyDescent="0.3">
      <c r="C30" s="7" t="s">
        <v>111</v>
      </c>
      <c r="D30" s="7" t="s">
        <v>112</v>
      </c>
      <c r="F30" s="25" t="s">
        <v>113</v>
      </c>
      <c r="G30" s="65">
        <v>0.20730000000000001</v>
      </c>
      <c r="H30" s="34">
        <v>0.2462</v>
      </c>
      <c r="I30" s="34">
        <v>0.30819999999999997</v>
      </c>
      <c r="J30" s="34">
        <v>0.38540000000000002</v>
      </c>
      <c r="K30" s="34">
        <v>0.4985</v>
      </c>
      <c r="L30" s="34">
        <v>0.68140000000000001</v>
      </c>
      <c r="M30" s="34">
        <v>1.0619000000000001</v>
      </c>
      <c r="N30" s="34">
        <v>0.8962</v>
      </c>
      <c r="O30" s="35">
        <v>1.7442</v>
      </c>
      <c r="P30" s="36">
        <v>3.2408999999999999</v>
      </c>
      <c r="Q30" s="76">
        <v>12.101000000000001</v>
      </c>
      <c r="R30" s="29">
        <v>19.251000000000001</v>
      </c>
      <c r="S30" s="29">
        <v>30.302</v>
      </c>
    </row>
    <row r="31" spans="2:26" ht="18" customHeight="1" x14ac:dyDescent="0.3">
      <c r="C31" s="7" t="s">
        <v>114</v>
      </c>
      <c r="D31" s="7" t="s">
        <v>115</v>
      </c>
      <c r="F31" s="25" t="s">
        <v>116</v>
      </c>
      <c r="G31" s="65">
        <v>21.556699999999999</v>
      </c>
      <c r="H31" s="34">
        <v>42.968800000000002</v>
      </c>
      <c r="I31" s="34">
        <v>52.736699999999999</v>
      </c>
      <c r="J31" s="34">
        <v>26.510400000000001</v>
      </c>
      <c r="K31" s="34">
        <v>54.623800000000003</v>
      </c>
      <c r="L31" s="34">
        <v>64.061599999999999</v>
      </c>
      <c r="M31" s="34">
        <v>57.375900000000001</v>
      </c>
      <c r="N31" s="34">
        <v>83.310599999999994</v>
      </c>
      <c r="O31" s="35">
        <v>50.730499999999999</v>
      </c>
      <c r="P31" s="36">
        <v>48.602499999999999</v>
      </c>
      <c r="Q31" s="76">
        <v>26.8525564803805</v>
      </c>
      <c r="R31" s="29">
        <v>19.853186813186813</v>
      </c>
      <c r="S31" s="29">
        <v>17.427843803056028</v>
      </c>
    </row>
    <row r="32" spans="2:26" ht="18" customHeight="1" x14ac:dyDescent="0.3">
      <c r="C32" s="7" t="s">
        <v>48</v>
      </c>
      <c r="D32" s="7" t="s">
        <v>117</v>
      </c>
      <c r="F32" s="25" t="s">
        <v>118</v>
      </c>
      <c r="G32" s="65">
        <v>3.5326</v>
      </c>
      <c r="H32" s="34">
        <v>11.3477</v>
      </c>
      <c r="I32" s="34">
        <v>19.737400000000001</v>
      </c>
      <c r="J32" s="34">
        <v>10.3887</v>
      </c>
      <c r="K32" s="34">
        <v>12.5609</v>
      </c>
      <c r="L32" s="34">
        <v>19.062100000000001</v>
      </c>
      <c r="M32" s="34">
        <v>21.507999999999999</v>
      </c>
      <c r="N32" s="34">
        <v>22.722999999999999</v>
      </c>
      <c r="O32" s="35">
        <v>34.990099999999998</v>
      </c>
      <c r="P32" s="36">
        <v>44.006599999999999</v>
      </c>
      <c r="Q32" s="76">
        <v>18.662094041814726</v>
      </c>
      <c r="R32" s="29">
        <v>11.730819178224507</v>
      </c>
      <c r="S32" s="29">
        <v>7.4526433898752567</v>
      </c>
    </row>
    <row r="33" spans="3:19" ht="18" customHeight="1" thickBot="1" x14ac:dyDescent="0.35">
      <c r="C33" s="7" t="s">
        <v>58</v>
      </c>
      <c r="D33" s="7" t="s">
        <v>119</v>
      </c>
      <c r="F33" s="68" t="s">
        <v>120</v>
      </c>
      <c r="G33" s="69">
        <v>10.5273</v>
      </c>
      <c r="H33" s="70">
        <v>28.6951</v>
      </c>
      <c r="I33" s="70">
        <v>41.586300000000001</v>
      </c>
      <c r="J33" s="70">
        <v>22.2804</v>
      </c>
      <c r="K33" s="70">
        <v>42.835099999999997</v>
      </c>
      <c r="L33" s="70">
        <v>47.852699999999999</v>
      </c>
      <c r="M33" s="70">
        <v>45.505400000000002</v>
      </c>
      <c r="N33" s="70">
        <v>62.112299999999998</v>
      </c>
      <c r="O33" s="71">
        <v>42.091900000000003</v>
      </c>
      <c r="P33" s="72">
        <v>41.0334</v>
      </c>
      <c r="Q33" s="73">
        <v>22.032761860144749</v>
      </c>
      <c r="R33" s="74">
        <v>16.800931713227897</v>
      </c>
      <c r="S33" s="74">
        <v>14.035069472908678</v>
      </c>
    </row>
    <row r="34" spans="3:19" ht="13.5" thickTop="1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4"/>
  <sheetViews>
    <sheetView showGridLines="0" topLeftCell="B1" zoomScale="85" zoomScaleNormal="85" workbookViewId="0">
      <selection activeCell="J20" sqref="J20"/>
    </sheetView>
  </sheetViews>
  <sheetFormatPr defaultRowHeight="12.75" x14ac:dyDescent="0.3"/>
  <cols>
    <col min="1" max="1" width="9" style="3" customWidth="1"/>
    <col min="2" max="2" width="15" style="3" customWidth="1"/>
    <col min="3" max="4" width="22.25" style="3" bestFit="1" customWidth="1"/>
    <col min="5" max="5" width="4.875" style="4" customWidth="1"/>
    <col min="6" max="6" width="16.875" style="3" customWidth="1"/>
    <col min="7" max="16" width="11.625" style="3" customWidth="1"/>
    <col min="17" max="17" width="13.25" style="3" customWidth="1"/>
    <col min="18" max="18" width="11.5" style="3" customWidth="1"/>
    <col min="19" max="19" width="14.25" style="3" customWidth="1"/>
    <col min="20" max="26" width="9" style="5"/>
    <col min="27" max="16384" width="9" style="3"/>
  </cols>
  <sheetData>
    <row r="1" spans="2:26" ht="16.5" customHeight="1" x14ac:dyDescent="0.3"/>
    <row r="2" spans="2:26" ht="16.5" customHeight="1" x14ac:dyDescent="0.3">
      <c r="T2" s="6"/>
      <c r="U2" s="6"/>
      <c r="V2" s="6"/>
      <c r="W2" s="6"/>
      <c r="X2" s="6"/>
      <c r="Y2" s="6"/>
      <c r="Z2" s="6"/>
    </row>
    <row r="3" spans="2:26" ht="16.5" customHeight="1" x14ac:dyDescent="0.3">
      <c r="F3" s="3" t="s">
        <v>39</v>
      </c>
      <c r="G3" s="3" t="s">
        <v>59</v>
      </c>
      <c r="H3" s="7" t="s">
        <v>37</v>
      </c>
      <c r="I3" s="3" t="s">
        <v>43</v>
      </c>
    </row>
    <row r="4" spans="2:26" ht="16.5" customHeight="1" x14ac:dyDescent="0.3">
      <c r="C4" s="3" t="s">
        <v>38</v>
      </c>
      <c r="D4" s="3" t="s">
        <v>60</v>
      </c>
      <c r="F4" s="8" t="s">
        <v>72</v>
      </c>
      <c r="G4" s="3" t="e">
        <f ca="1">_xll.BDP($F$4,$D$4)</f>
        <v>#NAME?</v>
      </c>
      <c r="H4" s="7" t="e">
        <f ca="1">_xll.BDP($F$4,$C$4,$I$4)</f>
        <v>#NAME?</v>
      </c>
      <c r="I4" s="6" t="s">
        <v>20</v>
      </c>
      <c r="J4" s="8"/>
    </row>
    <row r="5" spans="2:26" ht="16.5" customHeight="1" x14ac:dyDescent="0.3">
      <c r="B5" s="8"/>
      <c r="C5" s="7"/>
    </row>
    <row r="6" spans="2:26" ht="16.5" customHeight="1" x14ac:dyDescent="0.3">
      <c r="M6" s="6"/>
      <c r="N6" s="6"/>
      <c r="O6" s="6"/>
      <c r="P6" s="6"/>
      <c r="Q6" s="6" t="s">
        <v>11</v>
      </c>
      <c r="R6" s="6" t="s">
        <v>12</v>
      </c>
      <c r="S6" s="6" t="s">
        <v>13</v>
      </c>
    </row>
    <row r="7" spans="2:26" ht="16.5" customHeight="1" x14ac:dyDescent="0.3">
      <c r="C7" s="6" t="s">
        <v>15</v>
      </c>
      <c r="E7" s="6"/>
      <c r="F7" s="7"/>
      <c r="G7" s="7"/>
      <c r="H7" s="7"/>
      <c r="I7" s="7"/>
      <c r="J7" s="7"/>
      <c r="K7" s="7"/>
      <c r="L7" s="7"/>
    </row>
    <row r="8" spans="2:26" ht="16.5" customHeight="1" thickBot="1" x14ac:dyDescent="0.35">
      <c r="B8" s="9"/>
      <c r="C8" s="9"/>
      <c r="D8" s="9"/>
      <c r="E8" s="10"/>
      <c r="F8" s="9"/>
      <c r="G8" s="9" t="s">
        <v>61</v>
      </c>
      <c r="H8" s="9" t="s">
        <v>62</v>
      </c>
      <c r="I8" s="9" t="s">
        <v>63</v>
      </c>
      <c r="J8" s="9" t="s">
        <v>64</v>
      </c>
      <c r="K8" s="9" t="s">
        <v>65</v>
      </c>
      <c r="L8" s="9" t="s">
        <v>66</v>
      </c>
      <c r="M8" s="9" t="s">
        <v>67</v>
      </c>
      <c r="N8" s="9" t="s">
        <v>68</v>
      </c>
      <c r="O8" s="9" t="s">
        <v>69</v>
      </c>
      <c r="P8" s="9" t="s">
        <v>70</v>
      </c>
      <c r="Q8" s="9"/>
      <c r="R8" s="9"/>
      <c r="S8" s="9"/>
      <c r="T8" s="11"/>
      <c r="U8" s="12"/>
      <c r="V8" s="11"/>
      <c r="W8" s="11"/>
      <c r="X8" s="11"/>
      <c r="Y8" s="11"/>
      <c r="Z8" s="11"/>
    </row>
    <row r="9" spans="2:26" ht="16.5" customHeight="1" thickTop="1" thickBot="1" x14ac:dyDescent="0.35">
      <c r="B9" s="9"/>
      <c r="C9" s="9"/>
      <c r="D9" s="9"/>
      <c r="E9" s="10"/>
      <c r="F9" s="13" t="s">
        <v>0</v>
      </c>
      <c r="G9" s="14">
        <v>2016</v>
      </c>
      <c r="H9" s="14">
        <v>2017</v>
      </c>
      <c r="I9" s="14">
        <v>2018</v>
      </c>
      <c r="J9" s="14">
        <v>2019</v>
      </c>
      <c r="K9" s="14">
        <v>2020</v>
      </c>
      <c r="L9" s="14">
        <v>2021</v>
      </c>
      <c r="M9" s="14">
        <v>2022</v>
      </c>
      <c r="N9" s="14">
        <v>2023</v>
      </c>
      <c r="O9" s="15">
        <v>2024</v>
      </c>
      <c r="P9" s="13">
        <v>2025</v>
      </c>
      <c r="Q9" s="15" t="s">
        <v>2</v>
      </c>
      <c r="R9" s="15" t="s">
        <v>3</v>
      </c>
      <c r="S9" s="15" t="s">
        <v>29</v>
      </c>
      <c r="T9" s="16"/>
      <c r="U9" s="17"/>
      <c r="V9" s="16"/>
      <c r="W9" s="16"/>
      <c r="X9" s="16"/>
      <c r="Y9" s="16"/>
      <c r="Z9" s="16"/>
    </row>
    <row r="10" spans="2:26" ht="18" customHeight="1" x14ac:dyDescent="0.3">
      <c r="C10" s="8" t="s">
        <v>7</v>
      </c>
      <c r="D10" s="8" t="s">
        <v>10</v>
      </c>
      <c r="E10" s="8"/>
      <c r="F10" s="18" t="s">
        <v>1</v>
      </c>
      <c r="G10" s="19" t="e">
        <f ca="1">_xll.BDH($F$4,$C10,G$8,G$8,"Period=FY","BEST_FPERIOD_OVERRIDE=FY","FILING_STATUS=MR","SCALING_FORMAT=MLN","FA_ADJUSTED=Adjusted","Sort=A","Dates=H","DateFormat=P","Fill=—","Direction=H","UseDPDF=Y",$I$4)</f>
        <v>#NAME?</v>
      </c>
      <c r="H10" s="19" t="e">
        <f t="shared" ref="H10:P10" ca="1" si="0">_xll.BDH($F$4,$C10,H$8,H$8,"Period=FY","BEST_FPERIOD_OVERRIDE=FY","FILING_STATUS=MR","SCALING_FORMAT=MLN","FA_ADJUSTED=Adjusted","Sort=A","Dates=H","DateFormat=P","Fill=—","Direction=H","UseDPDF=Y",$I$4)</f>
        <v>#NAME?</v>
      </c>
      <c r="I10" s="19" t="e">
        <f t="shared" ca="1" si="0"/>
        <v>#NAME?</v>
      </c>
      <c r="J10" s="19" t="e">
        <f t="shared" ca="1" si="0"/>
        <v>#NAME?</v>
      </c>
      <c r="K10" s="19" t="e">
        <f t="shared" ca="1" si="0"/>
        <v>#NAME?</v>
      </c>
      <c r="L10" s="19" t="e">
        <f t="shared" ca="1" si="0"/>
        <v>#NAME?</v>
      </c>
      <c r="M10" s="19" t="e">
        <f t="shared" ca="1" si="0"/>
        <v>#NAME?</v>
      </c>
      <c r="N10" s="19" t="e">
        <f t="shared" ca="1" si="0"/>
        <v>#NAME?</v>
      </c>
      <c r="O10" s="20" t="e">
        <f t="shared" ca="1" si="0"/>
        <v>#NAME?</v>
      </c>
      <c r="P10" s="21" t="e">
        <f t="shared" ca="1" si="0"/>
        <v>#NAME?</v>
      </c>
      <c r="Q10" s="22" t="e">
        <f ca="1">_xll.BDP($F$4,$D10,Q$6,$I$4)</f>
        <v>#NAME?</v>
      </c>
      <c r="R10" s="22" t="e">
        <f ca="1">_xll.BDP($F$4,$D10,R$6,$I$4)</f>
        <v>#NAME?</v>
      </c>
      <c r="S10" s="22" t="e">
        <f ca="1">_xll.BDP($F$4,$D10,S$6,$I$4)</f>
        <v>#NAME?</v>
      </c>
      <c r="T10" s="23"/>
      <c r="U10" s="24"/>
      <c r="V10" s="23"/>
      <c r="W10" s="23"/>
      <c r="X10" s="23"/>
      <c r="Y10" s="23"/>
      <c r="Z10" s="23"/>
    </row>
    <row r="11" spans="2:26" ht="18" customHeight="1" x14ac:dyDescent="0.3">
      <c r="B11" s="8"/>
      <c r="C11" s="8"/>
      <c r="D11" s="8"/>
      <c r="E11" s="8"/>
      <c r="F11" s="25" t="s">
        <v>25</v>
      </c>
      <c r="G11" s="26" t="e">
        <f t="shared" ref="G11" ca="1" si="1">G10-G13</f>
        <v>#NAME?</v>
      </c>
      <c r="H11" s="26" t="e">
        <f t="shared" ref="H11:P11" ca="1" si="2">H10-H13</f>
        <v>#NAME?</v>
      </c>
      <c r="I11" s="26" t="e">
        <f t="shared" ca="1" si="2"/>
        <v>#NAME?</v>
      </c>
      <c r="J11" s="26" t="e">
        <f t="shared" ca="1" si="2"/>
        <v>#NAME?</v>
      </c>
      <c r="K11" s="26" t="e">
        <f t="shared" ca="1" si="2"/>
        <v>#NAME?</v>
      </c>
      <c r="L11" s="26" t="e">
        <f t="shared" ca="1" si="2"/>
        <v>#NAME?</v>
      </c>
      <c r="M11" s="26" t="e">
        <f t="shared" ca="1" si="2"/>
        <v>#NAME?</v>
      </c>
      <c r="N11" s="26" t="e">
        <f t="shared" ca="1" si="2"/>
        <v>#NAME?</v>
      </c>
      <c r="O11" s="27" t="e">
        <f t="shared" ca="1" si="2"/>
        <v>#NAME?</v>
      </c>
      <c r="P11" s="28" t="e">
        <f t="shared" ca="1" si="2"/>
        <v>#NAME?</v>
      </c>
      <c r="Q11" s="29" t="e">
        <f t="shared" ref="Q11:S11" ca="1" si="3">Q10-Q13</f>
        <v>#NAME?</v>
      </c>
      <c r="R11" s="29" t="e">
        <f t="shared" ca="1" si="3"/>
        <v>#NAME?</v>
      </c>
      <c r="S11" s="29" t="e">
        <f t="shared" ca="1" si="3"/>
        <v>#NAME?</v>
      </c>
      <c r="T11" s="23"/>
      <c r="U11" s="23"/>
      <c r="V11" s="23"/>
      <c r="W11" s="23"/>
      <c r="X11" s="23"/>
      <c r="Y11" s="23"/>
      <c r="Z11" s="23"/>
    </row>
    <row r="12" spans="2:26" ht="18" customHeight="1" x14ac:dyDescent="0.3">
      <c r="B12" s="8"/>
      <c r="C12" s="8"/>
      <c r="D12" s="8"/>
      <c r="E12" s="8"/>
      <c r="F12" s="25" t="s">
        <v>26</v>
      </c>
      <c r="G12" s="30" t="e">
        <f t="shared" ref="G12" ca="1" si="4">G11/G10*100</f>
        <v>#NAME?</v>
      </c>
      <c r="H12" s="30" t="e">
        <f t="shared" ref="H12:P12" ca="1" si="5">H11/H10*100</f>
        <v>#NAME?</v>
      </c>
      <c r="I12" s="30" t="e">
        <f t="shared" ca="1" si="5"/>
        <v>#NAME?</v>
      </c>
      <c r="J12" s="30" t="e">
        <f t="shared" ca="1" si="5"/>
        <v>#NAME?</v>
      </c>
      <c r="K12" s="30" t="e">
        <f t="shared" ca="1" si="5"/>
        <v>#NAME?</v>
      </c>
      <c r="L12" s="30" t="e">
        <f t="shared" ca="1" si="5"/>
        <v>#NAME?</v>
      </c>
      <c r="M12" s="30" t="e">
        <f t="shared" ca="1" si="5"/>
        <v>#NAME?</v>
      </c>
      <c r="N12" s="30" t="e">
        <f t="shared" ca="1" si="5"/>
        <v>#NAME?</v>
      </c>
      <c r="O12" s="31" t="e">
        <f t="shared" ca="1" si="5"/>
        <v>#NAME?</v>
      </c>
      <c r="P12" s="32" t="e">
        <f t="shared" ca="1" si="5"/>
        <v>#NAME?</v>
      </c>
      <c r="Q12" s="29" t="e">
        <f t="shared" ref="Q12:S12" ca="1" si="6">Q11/Q10*100</f>
        <v>#NAME?</v>
      </c>
      <c r="R12" s="29" t="e">
        <f t="shared" ca="1" si="6"/>
        <v>#NAME?</v>
      </c>
      <c r="S12" s="29" t="e">
        <f t="shared" ca="1" si="6"/>
        <v>#NAME?</v>
      </c>
      <c r="T12" s="23"/>
      <c r="U12" s="23"/>
      <c r="V12" s="23"/>
      <c r="W12" s="23"/>
      <c r="X12" s="23"/>
      <c r="Y12" s="23"/>
      <c r="Z12" s="23"/>
    </row>
    <row r="13" spans="2:26" ht="18" customHeight="1" x14ac:dyDescent="0.3">
      <c r="B13" s="8"/>
      <c r="C13" s="8" t="s">
        <v>21</v>
      </c>
      <c r="D13" s="8"/>
      <c r="E13" s="8"/>
      <c r="F13" s="25" t="s">
        <v>24</v>
      </c>
      <c r="G13" s="26" t="e">
        <f ca="1">_xll.BDH($F$4,$C13,G$8,G$8,"Period=FY","BEST_FPERIOD_OVERRIDE=FY","FILING_STATUS=MR","SCALING_FORMAT=MLN","FA_ADJUSTED=Adjusted","Sort=A","Dates=H","DateFormat=P","Fill=—","Direction=H","UseDPDF=Y",$I$4)</f>
        <v>#NAME?</v>
      </c>
      <c r="H13" s="26" t="e">
        <f t="shared" ref="H13:P13" ca="1" si="7">_xll.BDH($F$4,$C13,H$8,H$8,"Period=FY","BEST_FPERIOD_OVERRIDE=FY","FILING_STATUS=MR","SCALING_FORMAT=MLN","FA_ADJUSTED=Adjusted","Sort=A","Dates=H","DateFormat=P","Fill=—","Direction=H","UseDPDF=Y",$I$4)</f>
        <v>#NAME?</v>
      </c>
      <c r="I13" s="26" t="e">
        <f t="shared" ca="1" si="7"/>
        <v>#NAME?</v>
      </c>
      <c r="J13" s="26" t="e">
        <f t="shared" ca="1" si="7"/>
        <v>#NAME?</v>
      </c>
      <c r="K13" s="26" t="e">
        <f t="shared" ca="1" si="7"/>
        <v>#NAME?</v>
      </c>
      <c r="L13" s="26" t="e">
        <f t="shared" ca="1" si="7"/>
        <v>#NAME?</v>
      </c>
      <c r="M13" s="26" t="e">
        <f t="shared" ca="1" si="7"/>
        <v>#NAME?</v>
      </c>
      <c r="N13" s="26" t="e">
        <f t="shared" ca="1" si="7"/>
        <v>#NAME?</v>
      </c>
      <c r="O13" s="27" t="e">
        <f t="shared" ca="1" si="7"/>
        <v>#NAME?</v>
      </c>
      <c r="P13" s="28" t="e">
        <f t="shared" ca="1" si="7"/>
        <v>#NAME?</v>
      </c>
      <c r="Q13" s="29" t="e">
        <f ca="1">Q10*Q14/100</f>
        <v>#NAME?</v>
      </c>
      <c r="R13" s="29" t="e">
        <f ca="1">R10*R14/100</f>
        <v>#NAME?</v>
      </c>
      <c r="S13" s="29" t="e">
        <f ca="1">S10*S14/100</f>
        <v>#NAME?</v>
      </c>
      <c r="T13" s="23"/>
      <c r="U13" s="23"/>
      <c r="V13" s="23"/>
      <c r="W13" s="23"/>
      <c r="X13" s="23"/>
      <c r="Y13" s="23"/>
      <c r="Z13" s="23"/>
    </row>
    <row r="14" spans="2:26" ht="18" customHeight="1" x14ac:dyDescent="0.3">
      <c r="B14" s="8"/>
      <c r="D14" s="8" t="s">
        <v>22</v>
      </c>
      <c r="E14" s="8"/>
      <c r="F14" s="25" t="s">
        <v>23</v>
      </c>
      <c r="G14" s="30" t="e">
        <f t="shared" ref="G14" ca="1" si="8">G13/G10*100</f>
        <v>#NAME?</v>
      </c>
      <c r="H14" s="30" t="e">
        <f t="shared" ref="H14:P14" ca="1" si="9">H13/H10*100</f>
        <v>#NAME?</v>
      </c>
      <c r="I14" s="30" t="e">
        <f t="shared" ca="1" si="9"/>
        <v>#NAME?</v>
      </c>
      <c r="J14" s="30" t="e">
        <f t="shared" ca="1" si="9"/>
        <v>#NAME?</v>
      </c>
      <c r="K14" s="30" t="e">
        <f t="shared" ca="1" si="9"/>
        <v>#NAME?</v>
      </c>
      <c r="L14" s="30" t="e">
        <f t="shared" ca="1" si="9"/>
        <v>#NAME?</v>
      </c>
      <c r="M14" s="30" t="e">
        <f t="shared" ca="1" si="9"/>
        <v>#NAME?</v>
      </c>
      <c r="N14" s="30" t="e">
        <f t="shared" ca="1" si="9"/>
        <v>#NAME?</v>
      </c>
      <c r="O14" s="31" t="e">
        <f t="shared" ca="1" si="9"/>
        <v>#NAME?</v>
      </c>
      <c r="P14" s="32" t="e">
        <f t="shared" ca="1" si="9"/>
        <v>#NAME?</v>
      </c>
      <c r="Q14" s="33" t="e">
        <f ca="1">_xll.BDP($F$4,$D14,Q$6,$I$4)</f>
        <v>#NAME?</v>
      </c>
      <c r="R14" s="33" t="e">
        <f ca="1">_xll.BDP($F$4,$D14,R$6,$I$4)</f>
        <v>#NAME?</v>
      </c>
      <c r="S14" s="33" t="e">
        <f ca="1">_xll.BDP($F$4,$D14,S$6,$I$4)</f>
        <v>#NAME?</v>
      </c>
      <c r="T14" s="23"/>
      <c r="U14" s="23"/>
      <c r="V14" s="23"/>
      <c r="W14" s="23"/>
      <c r="X14" s="23"/>
      <c r="Y14" s="23"/>
      <c r="Z14" s="23"/>
    </row>
    <row r="15" spans="2:26" ht="18" customHeight="1" x14ac:dyDescent="0.3">
      <c r="B15" s="8"/>
      <c r="C15" s="8" t="s">
        <v>8</v>
      </c>
      <c r="D15" s="8" t="s">
        <v>14</v>
      </c>
      <c r="E15" s="8"/>
      <c r="F15" s="25" t="s">
        <v>19</v>
      </c>
      <c r="G15" s="26" t="e">
        <f ca="1">_xll.BDH($F$4,$C15,G$8,G$8,"Period=FY","BEST_FPERIOD_OVERRIDE=FY","FILING_STATUS=MR","SCALING_FORMAT=MLN","FA_ADJUSTED=Adjusted","Sort=A","Dates=H","DateFormat=P","Fill=—","Direction=H","UseDPDF=Y",$I$4)</f>
        <v>#NAME?</v>
      </c>
      <c r="H15" s="26" t="e">
        <f t="shared" ref="H15:P15" ca="1" si="10">_xll.BDH($F$4,$C15,H$8,H$8,"Period=FY","BEST_FPERIOD_OVERRIDE=FY","FILING_STATUS=MR","SCALING_FORMAT=MLN","FA_ADJUSTED=Adjusted","Sort=A","Dates=H","DateFormat=P","Fill=—","Direction=H","UseDPDF=Y",$I$4)</f>
        <v>#NAME?</v>
      </c>
      <c r="I15" s="26" t="e">
        <f t="shared" ca="1" si="10"/>
        <v>#NAME?</v>
      </c>
      <c r="J15" s="26" t="e">
        <f t="shared" ca="1" si="10"/>
        <v>#NAME?</v>
      </c>
      <c r="K15" s="26" t="e">
        <f t="shared" ca="1" si="10"/>
        <v>#NAME?</v>
      </c>
      <c r="L15" s="26" t="e">
        <f t="shared" ca="1" si="10"/>
        <v>#NAME?</v>
      </c>
      <c r="M15" s="26" t="e">
        <f t="shared" ca="1" si="10"/>
        <v>#NAME?</v>
      </c>
      <c r="N15" s="26" t="e">
        <f t="shared" ca="1" si="10"/>
        <v>#NAME?</v>
      </c>
      <c r="O15" s="27" t="e">
        <f t="shared" ca="1" si="10"/>
        <v>#NAME?</v>
      </c>
      <c r="P15" s="28" t="e">
        <f t="shared" ca="1" si="10"/>
        <v>#NAME?</v>
      </c>
      <c r="Q15" s="29" t="e">
        <f ca="1">_xll.BDP($F$4,$D15,Q$6,$I$4)</f>
        <v>#NAME?</v>
      </c>
      <c r="R15" s="29" t="e">
        <f ca="1">_xll.BDP($F$4,$D15,R$6,$I$4)</f>
        <v>#NAME?</v>
      </c>
      <c r="S15" s="29" t="e">
        <f ca="1">_xll.BDP($F$4,$D15,S$6,$I$4)</f>
        <v>#NAME?</v>
      </c>
      <c r="T15" s="23"/>
      <c r="U15" s="23"/>
      <c r="V15" s="23"/>
      <c r="W15" s="23"/>
      <c r="X15" s="23"/>
      <c r="Y15" s="23"/>
      <c r="Z15" s="23"/>
    </row>
    <row r="16" spans="2:26" ht="18" customHeight="1" x14ac:dyDescent="0.3">
      <c r="B16" s="8"/>
      <c r="C16" s="8"/>
      <c r="D16" s="8"/>
      <c r="E16" s="8"/>
      <c r="F16" s="25" t="s">
        <v>4</v>
      </c>
      <c r="G16" s="30" t="e">
        <f t="shared" ref="G16" ca="1" si="11">G15/G10*100</f>
        <v>#NAME?</v>
      </c>
      <c r="H16" s="30" t="e">
        <f t="shared" ref="H16:P16" ca="1" si="12">H15/H10*100</f>
        <v>#NAME?</v>
      </c>
      <c r="I16" s="30" t="e">
        <f t="shared" ca="1" si="12"/>
        <v>#NAME?</v>
      </c>
      <c r="J16" s="30" t="e">
        <f t="shared" ca="1" si="12"/>
        <v>#NAME?</v>
      </c>
      <c r="K16" s="30" t="e">
        <f t="shared" ca="1" si="12"/>
        <v>#NAME?</v>
      </c>
      <c r="L16" s="30" t="e">
        <f t="shared" ca="1" si="12"/>
        <v>#NAME?</v>
      </c>
      <c r="M16" s="30" t="e">
        <f t="shared" ca="1" si="12"/>
        <v>#NAME?</v>
      </c>
      <c r="N16" s="30" t="e">
        <f t="shared" ca="1" si="12"/>
        <v>#NAME?</v>
      </c>
      <c r="O16" s="31" t="e">
        <f t="shared" ca="1" si="12"/>
        <v>#NAME?</v>
      </c>
      <c r="P16" s="32" t="e">
        <f t="shared" ca="1" si="12"/>
        <v>#NAME?</v>
      </c>
      <c r="Q16" s="33" t="e">
        <f t="shared" ref="Q16:S16" ca="1" si="13">Q15/Q10*100</f>
        <v>#NAME?</v>
      </c>
      <c r="R16" s="33" t="e">
        <f t="shared" ca="1" si="13"/>
        <v>#NAME?</v>
      </c>
      <c r="S16" s="33" t="e">
        <f t="shared" ca="1" si="13"/>
        <v>#NAME?</v>
      </c>
      <c r="T16" s="23"/>
      <c r="U16" s="23"/>
      <c r="V16" s="23"/>
      <c r="W16" s="23"/>
      <c r="X16" s="23"/>
      <c r="Y16" s="23"/>
      <c r="Z16" s="23"/>
    </row>
    <row r="17" spans="2:26" ht="18" customHeight="1" x14ac:dyDescent="0.3">
      <c r="B17" s="8"/>
      <c r="C17" s="8" t="s">
        <v>27</v>
      </c>
      <c r="D17" s="8" t="s">
        <v>30</v>
      </c>
      <c r="E17" s="8"/>
      <c r="F17" s="25" t="s">
        <v>27</v>
      </c>
      <c r="G17" s="26" t="e">
        <f ca="1">_xll.BDH($F$4,$C17,G$8,G$8,"Period=FY","BEST_FPERIOD_OVERRIDE=FY","FILING_STATUS=MR","SCALING_FORMAT=MLN","FA_ADJUSTED=Adjusted","Sort=A","Dates=H","DateFormat=P","Fill=—","Direction=H","UseDPDF=Y",$I$4)</f>
        <v>#NAME?</v>
      </c>
      <c r="H17" s="26" t="e">
        <f t="shared" ref="H17:P17" ca="1" si="14">_xll.BDH($F$4,$C17,H$8,H$8,"Period=FY","BEST_FPERIOD_OVERRIDE=FY","FILING_STATUS=MR","SCALING_FORMAT=MLN","FA_ADJUSTED=Adjusted","Sort=A","Dates=H","DateFormat=P","Fill=—","Direction=H","UseDPDF=Y",$I$4)</f>
        <v>#NAME?</v>
      </c>
      <c r="I17" s="26" t="e">
        <f t="shared" ca="1" si="14"/>
        <v>#NAME?</v>
      </c>
      <c r="J17" s="26" t="e">
        <f t="shared" ca="1" si="14"/>
        <v>#NAME?</v>
      </c>
      <c r="K17" s="26" t="e">
        <f t="shared" ca="1" si="14"/>
        <v>#NAME?</v>
      </c>
      <c r="L17" s="26" t="e">
        <f t="shared" ca="1" si="14"/>
        <v>#NAME?</v>
      </c>
      <c r="M17" s="26" t="e">
        <f t="shared" ca="1" si="14"/>
        <v>#NAME?</v>
      </c>
      <c r="N17" s="26" t="e">
        <f t="shared" ca="1" si="14"/>
        <v>#NAME?</v>
      </c>
      <c r="O17" s="27" t="e">
        <f t="shared" ca="1" si="14"/>
        <v>#NAME?</v>
      </c>
      <c r="P17" s="28" t="e">
        <f t="shared" ca="1" si="14"/>
        <v>#NAME?</v>
      </c>
      <c r="Q17" s="29" t="e">
        <f ca="1">_xll.BDP($F$4,$D17,Q$6,$I$4)</f>
        <v>#NAME?</v>
      </c>
      <c r="R17" s="29" t="e">
        <f ca="1">_xll.BDP($F$4,$D17,R$6,$I$4)</f>
        <v>#NAME?</v>
      </c>
      <c r="S17" s="29" t="e">
        <f ca="1">_xll.BDP($F$4,$D17,S$6,$I$4)</f>
        <v>#NAME?</v>
      </c>
      <c r="T17" s="23"/>
      <c r="U17" s="23"/>
      <c r="V17" s="23"/>
      <c r="W17" s="23"/>
      <c r="X17" s="23"/>
      <c r="Y17" s="23"/>
      <c r="Z17" s="23"/>
    </row>
    <row r="18" spans="2:26" ht="18" customHeight="1" x14ac:dyDescent="0.3">
      <c r="B18" s="8"/>
      <c r="C18" s="8"/>
      <c r="D18" s="8"/>
      <c r="E18" s="8"/>
      <c r="F18" s="25" t="s">
        <v>28</v>
      </c>
      <c r="G18" s="30" t="e">
        <f t="shared" ref="G18" ca="1" si="15">G17/G10*100</f>
        <v>#NAME?</v>
      </c>
      <c r="H18" s="30" t="e">
        <f t="shared" ref="H18:P18" ca="1" si="16">H17/H10*100</f>
        <v>#NAME?</v>
      </c>
      <c r="I18" s="30" t="e">
        <f t="shared" ca="1" si="16"/>
        <v>#NAME?</v>
      </c>
      <c r="J18" s="30" t="e">
        <f t="shared" ca="1" si="16"/>
        <v>#NAME?</v>
      </c>
      <c r="K18" s="30" t="e">
        <f t="shared" ca="1" si="16"/>
        <v>#NAME?</v>
      </c>
      <c r="L18" s="30" t="e">
        <f t="shared" ca="1" si="16"/>
        <v>#NAME?</v>
      </c>
      <c r="M18" s="30" t="e">
        <f t="shared" ca="1" si="16"/>
        <v>#NAME?</v>
      </c>
      <c r="N18" s="30" t="e">
        <f t="shared" ca="1" si="16"/>
        <v>#NAME?</v>
      </c>
      <c r="O18" s="31" t="e">
        <f t="shared" ca="1" si="16"/>
        <v>#NAME?</v>
      </c>
      <c r="P18" s="32" t="e">
        <f t="shared" ca="1" si="16"/>
        <v>#NAME?</v>
      </c>
      <c r="Q18" s="33" t="e">
        <f t="shared" ref="Q18:S18" ca="1" si="17">Q17/Q10*100</f>
        <v>#NAME?</v>
      </c>
      <c r="R18" s="33" t="e">
        <f t="shared" ca="1" si="17"/>
        <v>#NAME?</v>
      </c>
      <c r="S18" s="33" t="e">
        <f t="shared" ca="1" si="17"/>
        <v>#NAME?</v>
      </c>
      <c r="T18" s="23"/>
      <c r="U18" s="23"/>
      <c r="V18" s="23"/>
      <c r="W18" s="23"/>
      <c r="X18" s="23"/>
      <c r="Y18" s="23"/>
      <c r="Z18" s="23"/>
    </row>
    <row r="19" spans="2:26" ht="18" customHeight="1" x14ac:dyDescent="0.3">
      <c r="B19" s="8"/>
      <c r="C19" s="8" t="s">
        <v>40</v>
      </c>
      <c r="D19" s="8" t="s">
        <v>41</v>
      </c>
      <c r="E19" s="8"/>
      <c r="F19" s="25" t="s">
        <v>42</v>
      </c>
      <c r="G19" s="30" t="e">
        <f ca="1">_xll.BDH($F$4,$C19,G$8,G$8,"Period=FY","BEST_FPERIOD_OVERRIDE=FY","FILING_STATUS=MR","SCALING_FORMAT=MLN","FA_ADJUSTED=Adjusted","Sort=A","Dates=H","DateFormat=P","Fill=—","Direction=H","UseDPDF=Y",$I$4)</f>
        <v>#NAME?</v>
      </c>
      <c r="H19" s="30" t="e">
        <f t="shared" ref="H19:P20" ca="1" si="18">_xll.BDH($F$4,$C19,H$8,H$8,"Period=FY","BEST_FPERIOD_OVERRIDE=FY","FILING_STATUS=MR","SCALING_FORMAT=MLN","FA_ADJUSTED=Adjusted","Sort=A","Dates=H","DateFormat=P","Fill=—","Direction=H","UseDPDF=Y",$I$4)</f>
        <v>#NAME?</v>
      </c>
      <c r="I19" s="30" t="e">
        <f t="shared" ca="1" si="18"/>
        <v>#NAME?</v>
      </c>
      <c r="J19" s="30" t="e">
        <f t="shared" ca="1" si="18"/>
        <v>#NAME?</v>
      </c>
      <c r="K19" s="30" t="e">
        <f t="shared" ca="1" si="18"/>
        <v>#NAME?</v>
      </c>
      <c r="L19" s="30" t="e">
        <f t="shared" ca="1" si="18"/>
        <v>#NAME?</v>
      </c>
      <c r="M19" s="30" t="e">
        <f t="shared" ca="1" si="18"/>
        <v>#NAME?</v>
      </c>
      <c r="N19" s="30" t="e">
        <f t="shared" ca="1" si="18"/>
        <v>#NAME?</v>
      </c>
      <c r="O19" s="31" t="e">
        <f t="shared" ca="1" si="18"/>
        <v>#NAME?</v>
      </c>
      <c r="P19" s="32" t="e">
        <f t="shared" ca="1" si="18"/>
        <v>#NAME?</v>
      </c>
      <c r="Q19" s="29" t="e">
        <f ca="1">_xll.BDP($F$4,$D19,Q$6,$I$4)</f>
        <v>#NAME?</v>
      </c>
      <c r="R19" s="29" t="e">
        <f ca="1">_xll.BDP($F$4,$D19,R$6,$I$4)</f>
        <v>#NAME?</v>
      </c>
      <c r="S19" s="29" t="e">
        <f ca="1">_xll.BDP($F$4,$D19,S$6,$I$4)</f>
        <v>#NAME?</v>
      </c>
      <c r="T19" s="23"/>
      <c r="U19" s="23"/>
      <c r="V19" s="23"/>
      <c r="W19" s="23"/>
      <c r="X19" s="23"/>
      <c r="Y19" s="23"/>
      <c r="Z19" s="23"/>
    </row>
    <row r="20" spans="2:26" ht="18" customHeight="1" x14ac:dyDescent="0.3">
      <c r="B20" s="8"/>
      <c r="C20" s="8" t="s">
        <v>9</v>
      </c>
      <c r="D20" s="8" t="s">
        <v>16</v>
      </c>
      <c r="E20" s="8"/>
      <c r="F20" s="25" t="s">
        <v>5</v>
      </c>
      <c r="G20" s="26" t="e">
        <f ca="1">_xll.BDH($F$4,$C20,G$8,G$8,"Period=FY","BEST_FPERIOD_OVERRIDE=FY","FILING_STATUS=MR","SCALING_FORMAT=MLN","FA_ADJUSTED=Adjusted","Sort=A","Dates=H","DateFormat=P","Fill=—","Direction=H","UseDPDF=Y",$I$4)</f>
        <v>#NAME?</v>
      </c>
      <c r="H20" s="26" t="e">
        <f t="shared" ca="1" si="18"/>
        <v>#NAME?</v>
      </c>
      <c r="I20" s="26" t="e">
        <f t="shared" ca="1" si="18"/>
        <v>#NAME?</v>
      </c>
      <c r="J20" s="26" t="e">
        <f t="shared" ca="1" si="18"/>
        <v>#NAME?</v>
      </c>
      <c r="K20" s="26" t="e">
        <f t="shared" ca="1" si="18"/>
        <v>#NAME?</v>
      </c>
      <c r="L20" s="26" t="e">
        <f t="shared" ca="1" si="18"/>
        <v>#NAME?</v>
      </c>
      <c r="M20" s="26" t="e">
        <f t="shared" ca="1" si="18"/>
        <v>#NAME?</v>
      </c>
      <c r="N20" s="26" t="e">
        <f t="shared" ca="1" si="18"/>
        <v>#NAME?</v>
      </c>
      <c r="O20" s="27" t="e">
        <f t="shared" ca="1" si="18"/>
        <v>#NAME?</v>
      </c>
      <c r="P20" s="28" t="e">
        <f t="shared" ca="1" si="18"/>
        <v>#NAME?</v>
      </c>
      <c r="Q20" s="29" t="e">
        <f ca="1">_xll.BDP($F$4,$D20,Q$6,$I$4)</f>
        <v>#NAME?</v>
      </c>
      <c r="R20" s="29" t="e">
        <f ca="1">_xll.BDP($F$4,$D20,R$6,$I$4)</f>
        <v>#NAME?</v>
      </c>
      <c r="S20" s="29" t="e">
        <f ca="1">_xll.BDP($F$4,$D20,S$6,$I$4)</f>
        <v>#NAME?</v>
      </c>
      <c r="T20" s="23"/>
      <c r="U20" s="23"/>
      <c r="V20" s="23"/>
      <c r="W20" s="23"/>
      <c r="X20" s="23"/>
      <c r="Y20" s="23"/>
      <c r="Z20" s="23"/>
    </row>
    <row r="21" spans="2:26" ht="18" customHeight="1" thickBot="1" x14ac:dyDescent="0.35">
      <c r="B21" s="8"/>
      <c r="C21" s="10"/>
      <c r="D21" s="10"/>
      <c r="E21" s="10"/>
      <c r="F21" s="40" t="s">
        <v>6</v>
      </c>
      <c r="G21" s="30" t="e">
        <f t="shared" ref="G21" ca="1" si="19">G20/G10*100</f>
        <v>#NAME?</v>
      </c>
      <c r="H21" s="30" t="e">
        <f t="shared" ref="H21:P21" ca="1" si="20">H20/H10*100</f>
        <v>#NAME?</v>
      </c>
      <c r="I21" s="30" t="e">
        <f t="shared" ca="1" si="20"/>
        <v>#NAME?</v>
      </c>
      <c r="J21" s="30" t="e">
        <f t="shared" ca="1" si="20"/>
        <v>#NAME?</v>
      </c>
      <c r="K21" s="30" t="e">
        <f t="shared" ca="1" si="20"/>
        <v>#NAME?</v>
      </c>
      <c r="L21" s="30" t="e">
        <f t="shared" ca="1" si="20"/>
        <v>#NAME?</v>
      </c>
      <c r="M21" s="30" t="e">
        <f t="shared" ca="1" si="20"/>
        <v>#NAME?</v>
      </c>
      <c r="N21" s="30" t="e">
        <f t="shared" ca="1" si="20"/>
        <v>#NAME?</v>
      </c>
      <c r="O21" s="31" t="e">
        <f t="shared" ca="1" si="20"/>
        <v>#NAME?</v>
      </c>
      <c r="P21" s="32" t="e">
        <f t="shared" ca="1" si="20"/>
        <v>#NAME?</v>
      </c>
      <c r="Q21" s="44" t="e">
        <f t="shared" ref="Q21:S21" ca="1" si="21">Q20/Q10*100</f>
        <v>#NAME?</v>
      </c>
      <c r="R21" s="44" t="e">
        <f t="shared" ca="1" si="21"/>
        <v>#NAME?</v>
      </c>
      <c r="S21" s="44" t="e">
        <f t="shared" ca="1" si="21"/>
        <v>#NAME?</v>
      </c>
      <c r="T21" s="45"/>
      <c r="U21" s="45"/>
      <c r="V21" s="45"/>
      <c r="W21" s="45"/>
      <c r="X21" s="45"/>
      <c r="Y21" s="45"/>
      <c r="Z21" s="45"/>
    </row>
    <row r="22" spans="2:26" ht="18" customHeight="1" thickTop="1" thickBot="1" x14ac:dyDescent="0.35">
      <c r="B22" s="8"/>
      <c r="C22" s="10"/>
      <c r="D22" s="10"/>
      <c r="E22" s="10"/>
      <c r="F22" s="13" t="s">
        <v>17</v>
      </c>
      <c r="G22" s="14">
        <v>2016</v>
      </c>
      <c r="H22" s="14">
        <v>2017</v>
      </c>
      <c r="I22" s="14">
        <v>2018</v>
      </c>
      <c r="J22" s="14">
        <v>2019</v>
      </c>
      <c r="K22" s="14">
        <v>2020</v>
      </c>
      <c r="L22" s="14">
        <v>2021</v>
      </c>
      <c r="M22" s="14">
        <v>2022</v>
      </c>
      <c r="N22" s="14">
        <v>2023</v>
      </c>
      <c r="O22" s="14">
        <v>2024</v>
      </c>
      <c r="P22" s="77">
        <v>2025</v>
      </c>
      <c r="Q22" s="15" t="s">
        <v>2</v>
      </c>
      <c r="R22" s="15" t="s">
        <v>3</v>
      </c>
      <c r="S22" s="15" t="s">
        <v>29</v>
      </c>
      <c r="T22" s="16"/>
      <c r="U22" s="16"/>
      <c r="V22" s="16"/>
      <c r="W22" s="16"/>
      <c r="X22" s="16"/>
      <c r="Y22" s="16"/>
      <c r="Z22" s="16"/>
    </row>
    <row r="23" spans="2:26" ht="18" customHeight="1" x14ac:dyDescent="0.3">
      <c r="B23" s="8"/>
      <c r="C23" s="10"/>
      <c r="D23" s="10"/>
      <c r="E23" s="10"/>
      <c r="F23" s="25" t="s">
        <v>18</v>
      </c>
      <c r="G23" s="78"/>
      <c r="H23" s="19" t="e">
        <f t="shared" ref="H23:K23" ca="1" si="22">(H10/G10-1)*100</f>
        <v>#NAME?</v>
      </c>
      <c r="I23" s="19" t="e">
        <f t="shared" ca="1" si="22"/>
        <v>#NAME?</v>
      </c>
      <c r="J23" s="19" t="e">
        <f t="shared" ca="1" si="22"/>
        <v>#NAME?</v>
      </c>
      <c r="K23" s="19" t="e">
        <f t="shared" ca="1" si="22"/>
        <v>#NAME?</v>
      </c>
      <c r="L23" s="19" t="e">
        <f ca="1">(L10/K10-1)*100</f>
        <v>#NAME?</v>
      </c>
      <c r="M23" s="19" t="e">
        <f ca="1">(M10/L10-1)*100</f>
        <v>#NAME?</v>
      </c>
      <c r="N23" s="19" t="e">
        <f ca="1">(N10/M10-1)*100</f>
        <v>#NAME?</v>
      </c>
      <c r="O23" s="20" t="e">
        <f ca="1">(O10/N10-1)*100</f>
        <v>#NAME?</v>
      </c>
      <c r="P23" s="21" t="e">
        <f ca="1">(P10/O10-1)*100</f>
        <v>#NAME?</v>
      </c>
      <c r="Q23" s="46" t="e">
        <f ca="1">(Q10/O10-1)*100</f>
        <v>#NAME?</v>
      </c>
      <c r="R23" s="46" t="e">
        <f ca="1">(R10/Q10-1)*100</f>
        <v>#NAME?</v>
      </c>
      <c r="S23" s="46" t="e">
        <f ca="1">(S10/R10-1)*100</f>
        <v>#NAME?</v>
      </c>
      <c r="T23" s="45"/>
      <c r="U23" s="45"/>
      <c r="V23" s="45"/>
      <c r="W23" s="45"/>
      <c r="X23" s="45"/>
      <c r="Y23" s="45"/>
      <c r="Z23" s="45"/>
    </row>
    <row r="24" spans="2:26" ht="18" customHeight="1" x14ac:dyDescent="0.3">
      <c r="B24" s="8"/>
      <c r="C24" s="10"/>
      <c r="D24" s="10"/>
      <c r="E24" s="10"/>
      <c r="F24" s="25" t="s">
        <v>24</v>
      </c>
      <c r="G24" s="79"/>
      <c r="H24" s="47" t="e">
        <f t="shared" ref="H24:K24" ca="1" si="23">(H13/G13-1)*100</f>
        <v>#NAME?</v>
      </c>
      <c r="I24" s="47" t="e">
        <f t="shared" ca="1" si="23"/>
        <v>#NAME?</v>
      </c>
      <c r="J24" s="47" t="e">
        <f t="shared" ca="1" si="23"/>
        <v>#NAME?</v>
      </c>
      <c r="K24" s="47" t="e">
        <f t="shared" ca="1" si="23"/>
        <v>#NAME?</v>
      </c>
      <c r="L24" s="47" t="e">
        <f ca="1">(L13/K13-1)*100</f>
        <v>#NAME?</v>
      </c>
      <c r="M24" s="47" t="e">
        <f ca="1">(M13/L13-1)*100</f>
        <v>#NAME?</v>
      </c>
      <c r="N24" s="47" t="e">
        <f ca="1">(N13/M13-1)*100</f>
        <v>#NAME?</v>
      </c>
      <c r="O24" s="48" t="e">
        <f ca="1">(O13/N13-1)*100</f>
        <v>#NAME?</v>
      </c>
      <c r="P24" s="49" t="e">
        <f ca="1">(P13/O13-1)*100</f>
        <v>#NAME?</v>
      </c>
      <c r="Q24" s="46" t="e">
        <f ca="1">(Q13/O13-1)*100</f>
        <v>#NAME?</v>
      </c>
      <c r="R24" s="46" t="e">
        <f ca="1">(R13/Q13-1)*100</f>
        <v>#NAME?</v>
      </c>
      <c r="S24" s="46" t="e">
        <f ca="1">(S13/R13-1)*100</f>
        <v>#NAME?</v>
      </c>
      <c r="T24" s="45"/>
      <c r="U24" s="45"/>
      <c r="V24" s="45"/>
      <c r="W24" s="45"/>
      <c r="X24" s="45"/>
      <c r="Y24" s="45"/>
      <c r="Z24" s="45"/>
    </row>
    <row r="25" spans="2:26" ht="18" customHeight="1" x14ac:dyDescent="0.3">
      <c r="B25" s="8"/>
      <c r="C25" s="10"/>
      <c r="D25" s="10"/>
      <c r="E25" s="10"/>
      <c r="F25" s="25" t="s">
        <v>19</v>
      </c>
      <c r="G25" s="79"/>
      <c r="H25" s="47" t="e">
        <f t="shared" ref="H25:K25" ca="1" si="24">(H15/G15-1)*100</f>
        <v>#NAME?</v>
      </c>
      <c r="I25" s="47" t="e">
        <f t="shared" ca="1" si="24"/>
        <v>#NAME?</v>
      </c>
      <c r="J25" s="47" t="e">
        <f t="shared" ca="1" si="24"/>
        <v>#NAME?</v>
      </c>
      <c r="K25" s="47" t="e">
        <f t="shared" ca="1" si="24"/>
        <v>#NAME?</v>
      </c>
      <c r="L25" s="47" t="e">
        <f ca="1">(L15/K15-1)*100</f>
        <v>#NAME?</v>
      </c>
      <c r="M25" s="47" t="e">
        <f ca="1">(M15/L15-1)*100</f>
        <v>#NAME?</v>
      </c>
      <c r="N25" s="47" t="e">
        <f ca="1">(N15/M15-1)*100</f>
        <v>#NAME?</v>
      </c>
      <c r="O25" s="50" t="e">
        <f ca="1">(O15/N15-1)*100</f>
        <v>#NAME?</v>
      </c>
      <c r="P25" s="51" t="e">
        <f ca="1">(P15/O15-1)*100</f>
        <v>#NAME?</v>
      </c>
      <c r="Q25" s="46" t="e">
        <f ca="1">(Q15/O15-1)*100</f>
        <v>#NAME?</v>
      </c>
      <c r="R25" s="46" t="e">
        <f ca="1">(R15/Q15-1)*100</f>
        <v>#NAME?</v>
      </c>
      <c r="S25" s="46" t="e">
        <f ca="1">(S15/R15-1)*100</f>
        <v>#NAME?</v>
      </c>
      <c r="T25" s="45"/>
      <c r="U25" s="45"/>
      <c r="V25" s="45"/>
      <c r="W25" s="45"/>
      <c r="X25" s="45"/>
      <c r="Y25" s="45"/>
      <c r="Z25" s="45"/>
    </row>
    <row r="26" spans="2:26" ht="18" customHeight="1" x14ac:dyDescent="0.3">
      <c r="B26" s="8"/>
      <c r="C26" s="10"/>
      <c r="D26" s="10"/>
      <c r="E26" s="10"/>
      <c r="F26" s="25" t="s">
        <v>27</v>
      </c>
      <c r="G26" s="79"/>
      <c r="H26" s="47" t="e">
        <f t="shared" ref="H26:K26" ca="1" si="25">(H17/G17-1)*100</f>
        <v>#NAME?</v>
      </c>
      <c r="I26" s="47" t="e">
        <f t="shared" ca="1" si="25"/>
        <v>#NAME?</v>
      </c>
      <c r="J26" s="47" t="e">
        <f t="shared" ca="1" si="25"/>
        <v>#NAME?</v>
      </c>
      <c r="K26" s="47" t="e">
        <f t="shared" ca="1" si="25"/>
        <v>#NAME?</v>
      </c>
      <c r="L26" s="47" t="e">
        <f ca="1">(L17/K17-1)*100</f>
        <v>#NAME?</v>
      </c>
      <c r="M26" s="47" t="e">
        <f t="shared" ref="M26:S26" ca="1" si="26">(M17/L17-1)*100</f>
        <v>#NAME?</v>
      </c>
      <c r="N26" s="47" t="e">
        <f t="shared" ca="1" si="26"/>
        <v>#NAME?</v>
      </c>
      <c r="O26" s="50" t="e">
        <f t="shared" ca="1" si="26"/>
        <v>#NAME?</v>
      </c>
      <c r="P26" s="51" t="e">
        <f t="shared" ca="1" si="26"/>
        <v>#NAME?</v>
      </c>
      <c r="Q26" s="46" t="e">
        <f t="shared" ca="1" si="26"/>
        <v>#NAME?</v>
      </c>
      <c r="R26" s="46" t="e">
        <f t="shared" ca="1" si="26"/>
        <v>#NAME?</v>
      </c>
      <c r="S26" s="46" t="e">
        <f t="shared" ca="1" si="26"/>
        <v>#NAME?</v>
      </c>
      <c r="T26" s="45"/>
      <c r="U26" s="45"/>
      <c r="V26" s="45"/>
      <c r="W26" s="45"/>
      <c r="X26" s="45"/>
      <c r="Y26" s="45"/>
      <c r="Z26" s="45"/>
    </row>
    <row r="27" spans="2:26" ht="18" customHeight="1" thickBot="1" x14ac:dyDescent="0.35">
      <c r="B27" s="52"/>
      <c r="C27" s="10"/>
      <c r="D27" s="10"/>
      <c r="E27" s="10"/>
      <c r="F27" s="53" t="s">
        <v>5</v>
      </c>
      <c r="G27" s="80"/>
      <c r="H27" s="81" t="e">
        <f t="shared" ref="H27" ca="1" si="27">(H20/G20-1)*100</f>
        <v>#NAME?</v>
      </c>
      <c r="I27" s="81" t="e">
        <f t="shared" ref="I27" ca="1" si="28">(I20/H20-1)*100</f>
        <v>#NAME?</v>
      </c>
      <c r="J27" s="81" t="e">
        <f t="shared" ref="J27" ca="1" si="29">(J20/I20-1)*100</f>
        <v>#NAME?</v>
      </c>
      <c r="K27" s="81" t="e">
        <f t="shared" ref="K27" ca="1" si="30">(K20/J20-1)*100</f>
        <v>#NAME?</v>
      </c>
      <c r="L27" s="81" t="e">
        <f t="shared" ref="L27:M27" ca="1" si="31">(L20/K20-1)*100</f>
        <v>#NAME?</v>
      </c>
      <c r="M27" s="81" t="e">
        <f t="shared" ca="1" si="31"/>
        <v>#NAME?</v>
      </c>
      <c r="N27" s="81" t="e">
        <f ca="1">(N20/M20-1)*100</f>
        <v>#NAME?</v>
      </c>
      <c r="O27" s="82" t="e">
        <f ca="1">(O20/N20-1)*100</f>
        <v>#NAME?</v>
      </c>
      <c r="P27" s="83" t="e">
        <f ca="1">(P20/O20-1)*100</f>
        <v>#NAME?</v>
      </c>
      <c r="Q27" s="57" t="e">
        <f ca="1">(Q20/O20-1)*100</f>
        <v>#NAME?</v>
      </c>
      <c r="R27" s="57" t="e">
        <f ca="1">(R20/Q20-1)*100</f>
        <v>#NAME?</v>
      </c>
      <c r="S27" s="57" t="e">
        <f ca="1">(S20/R20-1)*100</f>
        <v>#NAME?</v>
      </c>
      <c r="T27" s="45"/>
      <c r="U27" s="45"/>
      <c r="V27" s="45"/>
      <c r="W27" s="45"/>
      <c r="X27" s="45"/>
      <c r="Y27" s="45"/>
      <c r="Z27" s="45"/>
    </row>
    <row r="28" spans="2:26" ht="18" customHeight="1" thickTop="1" thickBot="1" x14ac:dyDescent="0.35">
      <c r="B28" s="52"/>
      <c r="C28" s="8"/>
      <c r="E28" s="8"/>
      <c r="F28" s="58" t="s">
        <v>31</v>
      </c>
      <c r="G28" s="14">
        <v>2016</v>
      </c>
      <c r="H28" s="14">
        <v>2017</v>
      </c>
      <c r="I28" s="14">
        <v>2018</v>
      </c>
      <c r="J28" s="14">
        <v>2019</v>
      </c>
      <c r="K28" s="14">
        <v>2020</v>
      </c>
      <c r="L28" s="14">
        <v>2021</v>
      </c>
      <c r="M28" s="14">
        <v>2022</v>
      </c>
      <c r="N28" s="14">
        <v>2023</v>
      </c>
      <c r="O28" s="14">
        <v>2024</v>
      </c>
      <c r="P28" s="77">
        <v>2025</v>
      </c>
      <c r="Q28" s="59" t="s">
        <v>2</v>
      </c>
      <c r="R28" s="59" t="s">
        <v>3</v>
      </c>
      <c r="S28" s="59" t="s">
        <v>29</v>
      </c>
      <c r="T28" s="11"/>
      <c r="U28" s="11"/>
      <c r="V28" s="11"/>
      <c r="W28" s="11"/>
      <c r="X28" s="11"/>
      <c r="Y28" s="11"/>
      <c r="Z28" s="11"/>
    </row>
    <row r="29" spans="2:26" ht="18" customHeight="1" thickTop="1" x14ac:dyDescent="0.3">
      <c r="B29" s="52"/>
      <c r="C29" s="8" t="s">
        <v>36</v>
      </c>
      <c r="D29" s="7" t="s">
        <v>32</v>
      </c>
      <c r="E29" s="8"/>
      <c r="F29" s="25" t="s">
        <v>34</v>
      </c>
      <c r="G29" s="84" t="e">
        <f t="shared" ref="G29:P33" ca="1" si="32">_xll.BDH($F$4,$C29,G$8,G$8,"Period=FY","BEST_FPERIOD_OVERRIDE=FY","FILING_STATUS=MR","SCALING_FORMAT=MLN","FA_ADJUSTED=Adjusted","Sort=A","Dates=H","DateFormat=P","Fill=—","Direction=H","UseDPDF=Y",$I$4)</f>
        <v>#NAME?</v>
      </c>
      <c r="H29" s="85" t="e">
        <f t="shared" ca="1" si="32"/>
        <v>#NAME?</v>
      </c>
      <c r="I29" s="85" t="e">
        <f t="shared" ca="1" si="32"/>
        <v>#NAME?</v>
      </c>
      <c r="J29" s="85" t="e">
        <f t="shared" ca="1" si="32"/>
        <v>#NAME?</v>
      </c>
      <c r="K29" s="85" t="e">
        <f t="shared" ca="1" si="32"/>
        <v>#NAME?</v>
      </c>
      <c r="L29" s="85" t="e">
        <f t="shared" ca="1" si="32"/>
        <v>#NAME?</v>
      </c>
      <c r="M29" s="85" t="e">
        <f t="shared" ca="1" si="32"/>
        <v>#NAME?</v>
      </c>
      <c r="N29" s="85" t="e">
        <f t="shared" ca="1" si="32"/>
        <v>#NAME?</v>
      </c>
      <c r="O29" s="86" t="e">
        <f t="shared" ca="1" si="32"/>
        <v>#NAME?</v>
      </c>
      <c r="P29" s="87" t="e">
        <f t="shared" ca="1" si="32"/>
        <v>#NAME?</v>
      </c>
      <c r="Q29" s="90" t="e">
        <f ca="1">_xll.BDP($F$4,$D29,Q$6,$I$4)</f>
        <v>#NAME?</v>
      </c>
      <c r="R29" s="91" t="e">
        <f ca="1">_xll.BDP($F$4,$D29,R$6,$I$4)</f>
        <v>#NAME?</v>
      </c>
      <c r="S29" s="91" t="e">
        <f ca="1">_xll.BDP($F$4,$D29,S$6,$I$4)</f>
        <v>#NAME?</v>
      </c>
      <c r="T29" s="11"/>
      <c r="U29" s="11"/>
      <c r="V29" s="11"/>
      <c r="W29" s="11"/>
      <c r="X29" s="11"/>
      <c r="Y29" s="11"/>
      <c r="Z29" s="11"/>
    </row>
    <row r="30" spans="2:26" ht="18" customHeight="1" x14ac:dyDescent="0.3">
      <c r="C30" s="7" t="s">
        <v>44</v>
      </c>
      <c r="D30" s="7" t="s">
        <v>33</v>
      </c>
      <c r="F30" s="25" t="s">
        <v>35</v>
      </c>
      <c r="G30" s="88" t="e">
        <f t="shared" ca="1" si="32"/>
        <v>#NAME?</v>
      </c>
      <c r="H30" s="30" t="e">
        <f t="shared" ca="1" si="32"/>
        <v>#NAME?</v>
      </c>
      <c r="I30" s="30" t="e">
        <f t="shared" ca="1" si="32"/>
        <v>#NAME?</v>
      </c>
      <c r="J30" s="30" t="e">
        <f t="shared" ca="1" si="32"/>
        <v>#NAME?</v>
      </c>
      <c r="K30" s="30" t="e">
        <f t="shared" ca="1" si="32"/>
        <v>#NAME?</v>
      </c>
      <c r="L30" s="30" t="e">
        <f t="shared" ca="1" si="32"/>
        <v>#NAME?</v>
      </c>
      <c r="M30" s="30" t="e">
        <f t="shared" ca="1" si="32"/>
        <v>#NAME?</v>
      </c>
      <c r="N30" s="30" t="e">
        <f t="shared" ca="1" si="32"/>
        <v>#NAME?</v>
      </c>
      <c r="O30" s="31" t="e">
        <f t="shared" ca="1" si="32"/>
        <v>#NAME?</v>
      </c>
      <c r="P30" s="32" t="e">
        <f t="shared" ca="1" si="32"/>
        <v>#NAME?</v>
      </c>
      <c r="Q30" s="92" t="e">
        <f ca="1">_xll.BDP($F$4,$D30,Q$6,$I$4)</f>
        <v>#NAME?</v>
      </c>
      <c r="R30" s="33" t="e">
        <f ca="1">_xll.BDP($F$4,$D30,R$6,$I$4)</f>
        <v>#NAME?</v>
      </c>
      <c r="S30" s="33" t="e">
        <f ca="1">_xll.BDP($F$4,$D30,S$6,$I$4)</f>
        <v>#NAME?</v>
      </c>
    </row>
    <row r="31" spans="2:26" ht="18" customHeight="1" x14ac:dyDescent="0.3">
      <c r="C31" s="7" t="s">
        <v>46</v>
      </c>
      <c r="D31" s="7" t="s">
        <v>54</v>
      </c>
      <c r="F31" s="25" t="s">
        <v>45</v>
      </c>
      <c r="G31" s="88" t="e">
        <f t="shared" ca="1" si="32"/>
        <v>#NAME?</v>
      </c>
      <c r="H31" s="30" t="e">
        <f t="shared" ca="1" si="32"/>
        <v>#NAME?</v>
      </c>
      <c r="I31" s="30" t="e">
        <f t="shared" ca="1" si="32"/>
        <v>#NAME?</v>
      </c>
      <c r="J31" s="30" t="e">
        <f t="shared" ca="1" si="32"/>
        <v>#NAME?</v>
      </c>
      <c r="K31" s="30" t="e">
        <f t="shared" ca="1" si="32"/>
        <v>#NAME?</v>
      </c>
      <c r="L31" s="30" t="e">
        <f t="shared" ca="1" si="32"/>
        <v>#NAME?</v>
      </c>
      <c r="M31" s="30" t="e">
        <f t="shared" ca="1" si="32"/>
        <v>#NAME?</v>
      </c>
      <c r="N31" s="30" t="e">
        <f t="shared" ca="1" si="32"/>
        <v>#NAME?</v>
      </c>
      <c r="O31" s="31" t="e">
        <f t="shared" ca="1" si="32"/>
        <v>#NAME?</v>
      </c>
      <c r="P31" s="32" t="e">
        <f t="shared" ca="1" si="32"/>
        <v>#NAME?</v>
      </c>
      <c r="Q31" s="92" t="e">
        <f ca="1">_xll.BDP($F$4,$D31,Q$6,$I$4)</f>
        <v>#NAME?</v>
      </c>
      <c r="R31" s="33" t="e">
        <f ca="1">_xll.BDP($F$4,$D31,R$6,$I$4)</f>
        <v>#NAME?</v>
      </c>
      <c r="S31" s="33" t="e">
        <f ca="1">_xll.BDP($F$4,$D31,S$6,$I$4)</f>
        <v>#NAME?</v>
      </c>
    </row>
    <row r="32" spans="2:26" ht="18" customHeight="1" x14ac:dyDescent="0.3">
      <c r="C32" s="7" t="s">
        <v>48</v>
      </c>
      <c r="D32" s="7" t="s">
        <v>55</v>
      </c>
      <c r="F32" s="25" t="s">
        <v>47</v>
      </c>
      <c r="G32" s="88" t="e">
        <f t="shared" ca="1" si="32"/>
        <v>#NAME?</v>
      </c>
      <c r="H32" s="30" t="e">
        <f t="shared" ca="1" si="32"/>
        <v>#NAME?</v>
      </c>
      <c r="I32" s="30" t="e">
        <f t="shared" ca="1" si="32"/>
        <v>#NAME?</v>
      </c>
      <c r="J32" s="30" t="e">
        <f t="shared" ca="1" si="32"/>
        <v>#NAME?</v>
      </c>
      <c r="K32" s="30" t="e">
        <f t="shared" ca="1" si="32"/>
        <v>#NAME?</v>
      </c>
      <c r="L32" s="30" t="e">
        <f t="shared" ca="1" si="32"/>
        <v>#NAME?</v>
      </c>
      <c r="M32" s="30" t="e">
        <f t="shared" ca="1" si="32"/>
        <v>#NAME?</v>
      </c>
      <c r="N32" s="30" t="e">
        <f t="shared" ca="1" si="32"/>
        <v>#NAME?</v>
      </c>
      <c r="O32" s="38" t="e">
        <f t="shared" ca="1" si="32"/>
        <v>#NAME?</v>
      </c>
      <c r="P32" s="39" t="e">
        <f t="shared" ca="1" si="32"/>
        <v>#NAME?</v>
      </c>
      <c r="Q32" s="92" t="e">
        <f ca="1">_xll.BDP($F$4,$D32,Q$6,$I$4)</f>
        <v>#NAME?</v>
      </c>
      <c r="R32" s="33" t="e">
        <f ca="1">_xll.BDP($F$4,$D32,R$6,$I$4)</f>
        <v>#NAME?</v>
      </c>
      <c r="S32" s="33" t="e">
        <f ca="1">_xll.BDP($F$4,$D32,S$6,$I$4)</f>
        <v>#NAME?</v>
      </c>
    </row>
    <row r="33" spans="3:19" ht="18" customHeight="1" thickBot="1" x14ac:dyDescent="0.35">
      <c r="C33" s="7" t="s">
        <v>58</v>
      </c>
      <c r="D33" s="7" t="s">
        <v>57</v>
      </c>
      <c r="F33" s="68" t="s">
        <v>56</v>
      </c>
      <c r="G33" s="89" t="e">
        <f t="shared" ca="1" si="32"/>
        <v>#NAME?</v>
      </c>
      <c r="H33" s="41" t="e">
        <f t="shared" ca="1" si="32"/>
        <v>#NAME?</v>
      </c>
      <c r="I33" s="41" t="e">
        <f t="shared" ca="1" si="32"/>
        <v>#NAME?</v>
      </c>
      <c r="J33" s="41" t="e">
        <f t="shared" ca="1" si="32"/>
        <v>#NAME?</v>
      </c>
      <c r="K33" s="41" t="e">
        <f t="shared" ca="1" si="32"/>
        <v>#NAME?</v>
      </c>
      <c r="L33" s="41" t="e">
        <f t="shared" ca="1" si="32"/>
        <v>#NAME?</v>
      </c>
      <c r="M33" s="41" t="e">
        <f t="shared" ca="1" si="32"/>
        <v>#NAME?</v>
      </c>
      <c r="N33" s="41" t="e">
        <f t="shared" ca="1" si="32"/>
        <v>#NAME?</v>
      </c>
      <c r="O33" s="42" t="e">
        <f t="shared" ca="1" si="32"/>
        <v>#NAME?</v>
      </c>
      <c r="P33" s="43" t="e">
        <f t="shared" ca="1" si="32"/>
        <v>#NAME?</v>
      </c>
      <c r="Q33" s="93" t="e">
        <f ca="1">_xll.BDP($F$4,$D33,Q$6,$I$4)</f>
        <v>#NAME?</v>
      </c>
      <c r="R33" s="44" t="e">
        <f ca="1">_xll.BDP($F$4,$D33,R$6,$I$4)</f>
        <v>#NAME?</v>
      </c>
      <c r="S33" s="44" t="e">
        <f ca="1">_xll.BDP($F$4,$D33,S$6,$I$4)</f>
        <v>#NAME?</v>
      </c>
    </row>
    <row r="34" spans="3:19" ht="13.5" thickTop="1" x14ac:dyDescent="0.3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그래프</vt:lpstr>
      <vt:lpstr>값복사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PC-2228</dc:creator>
  <cp:lastModifiedBy>PC-2228</cp:lastModifiedBy>
  <dcterms:created xsi:type="dcterms:W3CDTF">2025-02-19T08:27:10Z</dcterms:created>
  <dcterms:modified xsi:type="dcterms:W3CDTF">2026-05-14T06:42:50Z</dcterms:modified>
</cp:coreProperties>
</file>